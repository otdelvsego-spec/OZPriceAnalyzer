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7a6243fafb46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КонсОтчет" sheetId="1" r:id="Ra5e2c07d54ba49af"/>
    <x:sheet xmlns:r="http://schemas.openxmlformats.org/officeDocument/2006/relationships" name="Справочник начислений" sheetId="2" r:id="R88c36aabcb0d4ed8"/>
  </x:sheets>
</x:workbook>
</file>

<file path=xl/comments1.xml><?xml version="1.0" encoding="utf-8"?>
<x:comments xmlns:x="http://schemas.openxmlformats.org/spreadsheetml/2006/main">
  <x:authors>
    <x:author>konst_3</x:author>
  </x:authors>
  <x:commentList>
    <x:comment ref="E4" authorId="0">
      <x:text>
        <x:r>
          <x:t>konst_3:
Суммы без артикула и по артикулам, отсутствующим в справочнике.
</x:t>
        </x:r>
      </x:text>
    </x:comment>
    <x:comment ref="J4" authorId="0">
      <x:text>
        <x:r>
          <x:t>konst_3:
Чистая прибыль + Трудозатраты
</x:t>
        </x:r>
      </x:text>
    </x:comment>
    <x:comment ref="L4" authorId="0">
      <x:text>
        <x:r>
          <x:t>konst_3:
Чистая прибыль - нераспределенные расходы - (Выручка - Продажи)
</x:t>
        </x:r>
      </x:text>
    </x:comment>
    <x:comment ref="M4" authorId="0">
      <x:text>
        <x:r>
          <x:t>konst_3:
Прибыль от продаж - нераспределенные расходы - (Выручка - Продажи)</x:t>
        </x:r>
      </x:text>
    </x:comment>
    <x:comment ref="P4" authorId="0">
      <x:text>
        <x:r>
          <x:t>konst_3:
Ставка налога</x:t>
        </x:r>
      </x:text>
    </x:comment>
    <x:comment ref="AP5" authorId="0">
      <x:text>
        <x:r>
          <x:t>konst_3:
Упаковка, перепаковка и т.п.
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<x:sst xmlns:x="http://schemas.openxmlformats.org/spreadsheetml/2006/main">
  <x:si>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Общий доход</x:t>
  </x:si>
  <x:si>
    <x:t xml:space="preserve">Чистая прибыль</x:t>
  </x:si>
  <x:si>
    <x:t xml:space="preserve">Прибыль от продаж</x:t>
  </x:si>
  <x:si>
    <x:t xml:space="preserve">Комиссия ОЗОН</x:t>
  </x:si>
  <x:si>
    <x:t xml:space="preserve">Логистика ОЗОН</x:t>
  </x:si>
  <x:si>
    <x:t xml:space="preserve">Прочие расходы на ОЗОН</x:t>
  </x:si>
  <x:si>
    <x:t xml:space="preserve">Общие затраты на ОЗОН</x:t>
  </x:si>
  <x:si>
    <x:t xml:space="preserve">Доля в выручке:</x:t>
  </x:si>
  <x:si>
    <x:t xml:space="preserve">Общий
доход:</x:t>
  </x:si>
  <x:si>
    <x:t xml:space="preserve">Баллы:</x:t>
  </x:si>
  <x:si>
    <x:t xml:space="preserve">Артикул</x:t>
  </x:si>
  <x:si>
    <x:t xml:space="preserve">Наименование</x:t>
  </x:si>
  <x:si>
    <x:t xml:space="preserve">Итого с\с, руб.</x:t>
  </x:si>
  <x:si>
    <x:t xml:space="preserve">Материал, руб.</x:t>
  </x:si>
  <x:si>
    <x:t xml:space="preserve">Трудозатраты, руб.</x:t>
  </x:si>
  <x:si>
    <x:t xml:space="preserve">Материал проданного, руб.</x:t>
  </x:si>
  <x:si>
    <x:t xml:space="preserve">Трудозатраты проданного, руб.</x:t>
  </x:si>
  <x:si>
    <x:t xml:space="preserve">С\с проданного, руб.</x:t>
  </x:si>
  <x:si>
    <x:t xml:space="preserve">Доходность</x:t>
  </x:si>
  <x:si>
    <x:t xml:space="preserve">Чистая прибыль на ед.</x:t>
  </x:si>
  <x:si>
    <x:t xml:space="preserve">Прибыль от продаж на ед.</x:t>
  </x:si>
  <x:si>
    <x:t xml:space="preserve">Чистая прибыль всего</x:t>
  </x:si>
  <x:si>
    <x:t xml:space="preserve">Прибыль от продаж всего</x:t>
  </x:si>
  <x:si>
    <x:t xml:space="preserve">Средняя цена продажи</x:t>
  </x:si>
  <x:si>
    <x:t xml:space="preserve">Налог</x:t>
  </x:si>
  <x:si>
    <x:t xml:space="preserve">Налогооблагаемый доход</x:t>
  </x:si>
  <x:si>
    <x:t xml:space="preserve">Итоги:</x:t>
  </x:si>
  <x:si>
    <x:t xml:space="preserve">БРГС16011</x:t>
  </x:si>
  <x:si>
    <x:t xml:space="preserve">Горшок 1 л Без ручек</x:t>
  </x:si>
  <x:si>
    <x:t xml:space="preserve">БРГС16051</x:t>
  </x:si>
  <x:si>
    <x:t xml:space="preserve">Горшок 5 л Без ручек</x:t>
  </x:si>
  <x:si>
    <x:t xml:space="preserve">БРГС16101</x:t>
  </x:si>
  <x:si>
    <x:t xml:space="preserve">Горшок 10 л Без ручек</x:t>
  </x:si>
  <x:si>
    <x:t xml:space="preserve">БРГС16151</x:t>
  </x:si>
  <x:si>
    <x:t xml:space="preserve">Горшок 15 л Без ручек</x:t>
  </x:si>
  <x:si>
    <x:t xml:space="preserve">БРГС16201</x:t>
  </x:si>
  <x:si>
    <x:t xml:space="preserve">Горшок 20 л Без ручек</x:t>
  </x:si>
  <x:si>
    <x:t xml:space="preserve">БРГС16301</x:t>
  </x:si>
  <x:si>
    <x:t xml:space="preserve">Горшок 30 л Без ручек</x:t>
  </x:si>
  <x:si>
    <x:t xml:space="preserve">БРГС16451</x:t>
  </x:si>
  <x:si>
    <x:t xml:space="preserve">Горшок 45 л Без ручек</x:t>
  </x:si>
  <x:si>
    <x:t xml:space="preserve">БРГС16501</x:t>
  </x:si>
  <x:si>
    <x:t xml:space="preserve">Горшок 50 л Без ручек</x:t>
  </x:si>
  <x:si>
    <x:t xml:space="preserve">ГС16101</x:t>
  </x:si>
  <x:si>
    <x:t xml:space="preserve">Горшок 10 Ручки</x:t>
  </x:si>
  <x:si>
    <x:t xml:space="preserve">ГС16151</x:t>
  </x:si>
  <x:si>
    <x:t xml:space="preserve">Горшок 15 Ручки</x:t>
  </x:si>
  <x:si>
    <x:t xml:space="preserve">ГС16201</x:t>
  </x:si>
  <x:si>
    <x:t xml:space="preserve">Горшок 20 Ручки</x:t>
  </x:si>
  <x:si>
    <x:t xml:space="preserve">ГС16301</x:t>
  </x:si>
  <x:si>
    <x:t xml:space="preserve">Горшок 30 Ручки</x:t>
  </x:si>
  <x:si>
    <x:t xml:space="preserve">ГС16451</x:t>
  </x:si>
  <x:si>
    <x:t xml:space="preserve">Горшок 45 Ручки</x:t>
  </x:si>
  <x:si>
    <x:t xml:space="preserve">ГС16501</x:t>
  </x:si>
  <x:si>
    <x:t xml:space="preserve">Горшок 50 Ручки</x:t>
  </x:si>
  <x:si>
    <x:t xml:space="preserve">Бант 01 с</x:t>
  </x:si>
  <x:si>
    <x:t xml:space="preserve">Бантик для девочки 1шт.</x:t>
  </x:si>
  <x:si>
    <x:t xml:space="preserve">Бант02</x:t>
  </x:si>
  <x:si>
    <x:t xml:space="preserve">Бант для волос</x:t>
  </x:si>
  <x:si>
    <x:t xml:space="preserve">Бант 04</x:t>
  </x:si>
  <x:si>
    <x:t xml:space="preserve">Бант 04 с</x:t>
  </x:si>
  <x:si>
    <x:t xml:space="preserve">Бант для волос 1шт.</x:t>
  </x:si>
  <x:si>
    <x:t xml:space="preserve">Бант 05</x:t>
  </x:si>
  <x:si>
    <x:t xml:space="preserve">Бант для волос 2шт.</x:t>
  </x:si>
  <x:si>
    <x:t xml:space="preserve">Бант 05 р</x:t>
  </x:si>
  <x:si>
    <x:t xml:space="preserve">Бант 05 с-г</x:t>
  </x:si>
</x:sst>
</file>

<file path=xl/styles.xml><?xml version="1.0" encoding="utf-8"?>
<x:styleSheet xmlns:x="http://schemas.openxmlformats.org/spreadsheetml/2006/main">
  <x:numFmts count="5">
    <x:numFmt numFmtId="7" formatCode="#,##0.00\ &quot;₽&quot;;\-#,##0.00\ &quot;₽&quot;"/>
    <x:numFmt numFmtId="164" formatCode="0.0"/>
    <x:numFmt numFmtId="200" formatCode="#,##0.00"/>
    <x:numFmt numFmtId="201" formatCode="#,##0"/>
    <x:numFmt numFmtId="202" formatCode="0.00%"/>
  </x:numFmts>
  <x:fonts count="11">
    <x:font>
      <x:sz val="11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  <x:font>
      <x:sz val="11"/>
      <x:color rgb="FF000000"/>
      <x:name val="Calibri"/>
    </x:font>
    <x:font>
      <x:sz val="11"/>
      <x:color theme="1"/>
      <x:name val="Calibri"/>
    </x:font>
    <x:font>
      <x:sz val="9"/>
      <x:color indexed="81"/>
      <x:name val="Tahoma"/>
    </x:font>
    <x:font>
      <x:b/>
      <x:sz val="9"/>
      <x:color indexed="81"/>
      <x:name val="Tahoma"/>
    </x:font>
    <x:font>
      <x:b/>
      <x:sz val="11"/>
      <x:color rgb="FFFFFFFF"/>
      <x:name val="Calibri"/>
    </x:font>
    <x:font>
      <x:b/>
      <x:sz val="11"/>
      <x:color rgb="FF000000"/>
      <x:name val="Calibri"/>
    </x:font>
    <x:font>
      <x:sz val="11"/>
      <x:color rgb="FF0000FF"/>
      <x:name val="Calibri"/>
    </x:font>
    <x:font>
      <x:b/>
      <x:sz val="11"/>
      <x:color rgb="FF1F1F1F"/>
      <x:name val="Calibri"/>
    </x:font>
  </x:fonts>
  <x:fills count="16">
    <x:fill>
      <x:patternFill patternType="none"/>
    </x:fill>
    <x:fill>
      <x:patternFill patternType="gray125"/>
    </x:fill>
    <x:fill>
      <x:patternFill patternType="solid">
        <x:fgColor rgb="FF00B0F0"/>
      </x:patternFill>
    </x:fill>
    <x:fill>
      <x:patternFill patternType="solid">
        <x:fgColor theme="0" tint="-0.15"/>
      </x:patternFill>
    </x:fill>
    <x:fill>
      <x:patternFill patternType="solid">
        <x:fgColor theme="9" tint="0.59999"/>
      </x:patternFill>
    </x:fill>
    <x:fill>
      <x:patternFill patternType="solid">
        <x:fgColor rgb="FF4472C4"/>
      </x:patternFill>
    </x:fill>
    <x:fill>
      <x:patternFill patternType="solid">
        <x:fgColor rgb="FFD9E1F2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FD966"/>
      </x:patternFill>
    </x:fill>
    <x:fill>
      <x:patternFill patternType="solid">
        <x:fgColor rgb="FFD9E1F2"/>
      </x:patternFill>
    </x:fill>
    <x:fill>
      <x:patternFill patternType="solid">
        <x:fgColor rgb="FFDDEBF7"/>
      </x:patternFill>
    </x:fill>
    <x:fill>
      <x:patternFill patternType="solid">
        <x:fgColor rgb="FFE2EFDA"/>
      </x:patternFill>
    </x:fill>
    <x:fill>
      <x:patternFill patternType="solid">
        <x:fgColor rgb="FFD9E1F2"/>
      </x:patternFill>
    </x:fill>
    <x:fill>
      <x:patternFill patternType="solid">
        <x:fgColor rgb="FFDDEBF7"/>
      </x:patternFill>
    </x:fill>
    <x:fill>
      <x:patternFill patternType="solid">
        <x:fgColor rgb="FFE2EFDA"/>
      </x:patternFill>
    </x:fill>
  </x:fills>
  <x:borders count="29"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medium">
        <x:color indexed="64"/>
      </x:left>
      <x:top style="medium">
        <x:color indexed="64"/>
      </x:top>
      <x:bottom style="medium">
        <x:color indexed="64"/>
      </x:bottom>
    </x:border>
    <x:border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top style="medium">
        <x:color indexed="64"/>
      </x:top>
      <x:bottom style="medium">
        <x:color indexed="64"/>
      </x:bottom>
    </x:border>
    <x:border>
      <x:left style="medium">
        <x:color indexed="64"/>
      </x:left>
      <x:top style="medium">
        <x:color indexed="64"/>
      </x:top>
    </x:border>
    <x:border>
      <x:right style="medium">
        <x:color indexed="64"/>
      </x:right>
      <x:top style="medium">
        <x:color indexed="64"/>
      </x:top>
    </x:border>
    <x:border>
      <x:left style="medium">
        <x:color indexed="64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top style="medium">
        <x:color indexed="64"/>
      </x:top>
    </x:border>
    <x:border>
      <x:left style="medium">
        <x:color indexed="64"/>
      </x:left>
    </x:border>
    <x:border>
      <x:right style="medium">
        <x:color indexed="64"/>
      </x:right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thin">
        <x:color indexed="64"/>
      </x:bottom>
    </x:border>
    <x:border>
      <x:left style="medium">
        <x:color indexed="64"/>
      </x:left>
      <x:right style="medium">
        <x:color indexed="64"/>
      </x:right>
      <x:top style="medium">
        <x:color indexed="64"/>
      </x:top>
    </x:border>
    <x:border>
      <x:left style="medium">
        <x:color indexed="64"/>
      </x:left>
      <x:right style="medium">
        <x:color indexed="64"/>
      </x:right>
      <x:bottom style="medium">
        <x:color indexed="64"/>
      </x:bottom>
    </x:border>
    <x:border>
      <x:left style="medium">
        <x:color indexed="64"/>
      </x:left>
      <x:right style="medium">
        <x:color indexed="64"/>
      </x:right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medium">
        <x:color indexed="64"/>
      </x:left>
      <x:bottom style="medium">
        <x:color indexed="64"/>
      </x:bottom>
    </x:border>
    <x:border>
      <x:bottom style="medium">
        <x:color indexed="64"/>
      </x:bottom>
    </x:border>
    <x:border>
      <x:right style="medium">
        <x:color indexed="64"/>
      </x:right>
      <x:bottom style="medium">
        <x:color indexed="64"/>
      </x:bottom>
    </x:border>
    <x:border>
      <x:left style="medium">
        <x:color rgb="FF2F5597"/>
      </x:left>
      <x:top style="medium">
        <x:color rgb="FF2F5597"/>
      </x:top>
      <x:bottom style="medium">
        <x:color rgb="FF2F5597"/>
      </x:bottom>
    </x:border>
    <x:border>
      <x:top style="medium">
        <x:color rgb="FF2F5597"/>
      </x:top>
      <x:bottom style="medium">
        <x:color rgb="FF2F5597"/>
      </x:bottom>
    </x:border>
    <x:border>
      <x:right style="medium">
        <x:color rgb="FF2F5597"/>
      </x:right>
      <x:top style="medium">
        <x:color rgb="FF2F5597"/>
      </x:top>
      <x:bottom style="medium">
        <x:color rgb="FF2F5597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B7A34A"/>
      </x:left>
      <x:right style="thin">
        <x:color rgb="FFB7A34A"/>
      </x:right>
      <x:top style="thin">
        <x:color rgb="FFB7A34A"/>
      </x:top>
      <x:bottom style="thin">
        <x:color rgb="FFB7A34A"/>
      </x:bottom>
    </x:border>
  </x:borders>
  <x:cellStyleXfs count="2">
    <x:xf numFmtId="0" fontId="0" fillId="0" borderId="0"/>
    <x:xf numFmtId="9" fontId="4" fillId="0" borderId="0" applyFont="0" applyFill="0" applyBorder="0" applyAlignment="0" applyProtection="0"/>
  </x:cellStyleXfs>
  <x:cellXfs count="120">
    <x:xf numFmtId="0" fontId="0" fillId="0" borderId="0" xfId="0"/>
    <x:xf numFmtId="0" fontId="2" fillId="0" borderId="1" xfId="0" applyFont="1" applyFill="1" applyBorder="1"/>
    <x:xf numFmtId="0" fontId="0" fillId="0" borderId="1" xfId="0" applyFill="1" applyBorder="1"/>
    <x:xf numFmtId="0" fontId="1" fillId="0" borderId="1" xfId="0" applyFont="1" applyFill="1" applyBorder="1"/>
    <x:xf numFmtId="2" fontId="1" fillId="0" borderId="1" xfId="0" applyNumberFormat="1" applyFont="1" applyFill="1" applyBorder="1"/>
    <x:xf numFmtId="0" fontId="2" fillId="0" borderId="1" xfId="0" applyFont="1" applyFill="1" applyBorder="1" applyAlignment="1">
      <x:alignment wrapText="1"/>
    </x:xf>
    <x:xf numFmtId="0" fontId="0" fillId="0" borderId="1" xfId="0" applyBorder="1"/>
    <x:xf numFmtId="2" fontId="2" fillId="0" borderId="1" xfId="0" applyNumberFormat="1" applyFont="1" applyFill="1" applyBorder="1" applyAlignment="1">
      <x:alignment wrapText="1"/>
    </x:xf>
    <x:xf numFmtId="2" fontId="2" fillId="2" borderId="1" xfId="0" applyNumberFormat="1" applyFont="1" applyFill="1" applyBorder="1" applyAlignment="1">
      <x:alignment wrapText="1"/>
    </x:xf>
    <x:xf numFmtId="0" fontId="1" fillId="3" borderId="1" xfId="0" applyFont="1" applyFill="1" applyBorder="1"/>
    <x:xf numFmtId="0" fontId="0" fillId="3" borderId="1" xfId="0" applyFill="1" applyBorder="1"/>
    <x:xf numFmtId="7" fontId="0" fillId="3" borderId="1" xfId="0" applyNumberFormat="1" applyFill="1" applyBorder="1"/>
    <x:xf numFmtId="164" fontId="0" fillId="3" borderId="1" xfId="0" applyNumberFormat="1" applyFill="1" applyBorder="1"/>
    <x:xf numFmtId="2" fontId="0" fillId="3" borderId="1" xfId="0" applyNumberFormat="1" applyFill="1" applyBorder="1"/>
    <x:xf numFmtId="0" fontId="0" fillId="0" borderId="3" xfId="0" applyBorder="1" applyAlignment="1"/>
    <x:xf numFmtId="0" fontId="0" fillId="0" borderId="5" xfId="0" applyBorder="1"/>
    <x:xf numFmtId="0" fontId="0" fillId="0" borderId="8" xfId="0" applyBorder="1"/>
    <x:xf numFmtId="0" fontId="0" fillId="0" borderId="9" xfId="0" applyBorder="1"/>
    <x:xf numFmtId="0" fontId="0" fillId="0" borderId="0" xfId="0" applyBorder="1"/>
    <x:xf numFmtId="0" fontId="0" fillId="0" borderId="10" xfId="0" applyBorder="1"/>
    <x:xf numFmtId="0" fontId="2" fillId="0" borderId="11" xfId="0" applyFont="1" applyFill="1" applyBorder="1"/>
    <x:xf numFmtId="2" fontId="2" fillId="0" borderId="12" xfId="0" applyNumberFormat="1" applyFont="1" applyFill="1" applyBorder="1" applyAlignment="1">
      <x:alignment wrapText="1"/>
    </x:xf>
    <x:xf numFmtId="0" fontId="0" fillId="0" borderId="11" xfId="0" applyFill="1" applyBorder="1"/>
    <x:xf numFmtId="0" fontId="0" fillId="3" borderId="12" xfId="0" applyFill="1" applyBorder="1"/>
    <x:xf numFmtId="7" fontId="0" fillId="3" borderId="12" xfId="0" applyNumberFormat="1" applyFill="1" applyBorder="1"/>
    <x:xf numFmtId="2" fontId="0" fillId="3" borderId="12" xfId="0" applyNumberFormat="1" applyFill="1" applyBorder="1"/>
    <x:xf numFmtId="0" fontId="2" fillId="0" borderId="7" xfId="0" applyFont="1" applyBorder="1" applyAlignment="1">
      <x:alignment horizontal="center" vertical="center" wrapText="1"/>
    </x:xf>
    <x:xf numFmtId="0" fontId="2" fillId="0" borderId="16" xfId="0" applyFont="1" applyFill="1" applyBorder="1"/>
    <x:xf numFmtId="0" fontId="2" fillId="0" borderId="17" xfId="0" applyFont="1" applyFill="1" applyBorder="1"/>
    <x:xf numFmtId="0" fontId="2" fillId="0" borderId="17" xfId="0" applyFont="1" applyFill="1" applyBorder="1" applyAlignment="1">
      <x:alignment horizontal="center" vertical="center" wrapText="1"/>
    </x:xf>
    <x:xf numFmtId="0" fontId="0" fillId="3" borderId="17" xfId="0" applyFill="1" applyBorder="1" applyAlignment="1">
      <x:alignment horizontal="center" vertical="center" wrapText="1"/>
    </x:xf>
    <x:xf numFmtId="0" fontId="0" fillId="0" borderId="17" xfId="0" applyFill="1" applyBorder="1" applyAlignment="1">
      <x:alignment horizontal="center" vertical="center" wrapText="1"/>
    </x:xf>
    <x:xf numFmtId="0" fontId="0" fillId="3" borderId="18" xfId="0" applyFill="1" applyBorder="1" applyAlignment="1">
      <x:alignment horizontal="center" vertical="center" wrapText="1"/>
    </x:xf>
    <x:xf numFmtId="10" fontId="0" fillId="0" borderId="7" xfId="1" applyNumberFormat="1" applyFont="1" applyBorder="1" applyAlignment="1">
      <x:alignment horizontal="center" vertical="center"/>
    </x:xf>
    <x:xf numFmtId="10" fontId="2" fillId="0" borderId="7" xfId="1" applyNumberFormat="1" applyFont="1" applyBorder="1" applyAlignment="1">
      <x:alignment horizontal="center" vertical="center" wrapText="1"/>
    </x:xf>
    <x:xf numFmtId="0" fontId="0" fillId="0" borderId="19" xfId="0" applyBorder="1"/>
    <x:xf numFmtId="0" fontId="0" fillId="0" borderId="20" xfId="0" applyBorder="1"/>
    <x:xf numFmtId="2" fontId="0" fillId="0" borderId="20" xfId="0" applyNumberFormat="1" applyBorder="1"/>
    <x:xf numFmtId="0" fontId="0" fillId="0" borderId="21" xfId="0" applyBorder="1"/>
    <x:xf numFmtId="0" fontId="0" fillId="0" borderId="0" xfId="0" applyBorder="1" applyAlignment="1"/>
    <x:xf numFmtId="0" fontId="0" fillId="3" borderId="0" xfId="0" applyFill="1" applyAlignment="1">
      <x:alignment horizontal="center" vertical="center" wrapText="1"/>
    </x:xf>
    <x:xf numFmtId="2" fontId="0" fillId="0" borderId="0" xfId="0" applyNumberFormat="1"/>
    <x:xf numFmtId="0" fontId="2" fillId="0" borderId="0" xfId="0" applyFont="1"/>
    <x:xf numFmtId="0" fontId="2" fillId="0" borderId="0" xfId="0" applyFont="1" applyBorder="1" applyAlignment="1">
      <x:alignment horizontal="right" vertical="center"/>
    </x:xf>
    <x:xf numFmtId="10" fontId="0" fillId="0" borderId="13" xfId="1" applyNumberFormat="1" applyFont="1" applyBorder="1" applyAlignment="1">
      <x:alignment horizontal="center" vertical="center"/>
    </x:xf>
    <x:xf numFmtId="10" fontId="0" fillId="0" borderId="14" xfId="1" applyNumberFormat="1" applyFont="1" applyBorder="1" applyAlignment="1">
      <x:alignment horizontal="center" vertical="center"/>
    </x:xf>
    <x:xf numFmtId="0" fontId="0" fillId="0" borderId="13" xfId="0" applyBorder="1" applyAlignment="1">
      <x:alignment horizontal="center" vertical="center" wrapText="1"/>
    </x:xf>
    <x:xf numFmtId="0" fontId="0" fillId="0" borderId="14" xfId="0" applyBorder="1" applyAlignment="1">
      <x:alignment horizontal="center" vertical="center" wrapText="1"/>
    </x:xf>
    <x:xf numFmtId="0" fontId="2" fillId="0" borderId="13" xfId="0" applyFont="1" applyBorder="1" applyAlignment="1">
      <x:alignment horizontal="center" vertical="center"/>
    </x:xf>
    <x:xf numFmtId="0" fontId="2" fillId="0" borderId="14" xfId="0" applyFont="1" applyBorder="1" applyAlignment="1">
      <x:alignment horizontal="center" vertical="center"/>
    </x:xf>
    <x:xf numFmtId="2" fontId="0" fillId="0" borderId="13" xfId="0" applyNumberFormat="1" applyBorder="1" applyAlignment="1">
      <x:alignment horizontal="center" vertical="center"/>
    </x:xf>
    <x:xf numFmtId="2" fontId="0" fillId="0" borderId="14" xfId="0" applyNumberFormat="1" applyBorder="1" applyAlignment="1">
      <x:alignment horizontal="center" vertical="center"/>
    </x:xf>
    <x:xf numFmtId="0" fontId="2" fillId="0" borderId="2" xfId="0" applyFont="1" applyBorder="1" applyAlignment="1">
      <x:alignment horizontal="right" vertical="center"/>
    </x:xf>
    <x:xf numFmtId="0" fontId="2" fillId="0" borderId="4" xfId="0" applyFont="1" applyBorder="1" applyAlignment="1">
      <x:alignment horizontal="right" vertical="center"/>
    </x:xf>
    <x:xf numFmtId="0" fontId="2" fillId="0" borderId="3" xfId="0" applyFont="1" applyBorder="1" applyAlignment="1">
      <x:alignment horizontal="right" vertical="center"/>
    </x:xf>
    <x:xf numFmtId="2" fontId="0" fillId="4" borderId="13" xfId="0" applyNumberFormat="1" applyFill="1" applyBorder="1" applyAlignment="1">
      <x:alignment horizontal="center" vertical="center"/>
    </x:xf>
    <x:xf numFmtId="2" fontId="0" fillId="4" borderId="15" xfId="0" applyNumberFormat="1" applyFill="1" applyBorder="1" applyAlignment="1">
      <x:alignment horizontal="center" vertical="center"/>
    </x:xf>
    <x:xf numFmtId="2" fontId="0" fillId="4" borderId="6" xfId="0" applyNumberFormat="1" applyFill="1" applyBorder="1" applyAlignment="1">
      <x:alignment horizontal="center" vertical="center"/>
    </x:xf>
    <x:xf numFmtId="2" fontId="0" fillId="4" borderId="10" xfId="0" applyNumberFormat="1" applyFill="1" applyBorder="1" applyAlignment="1">
      <x:alignment horizontal="center" vertical="center"/>
    </x:xf>
    <x:xf numFmtId="0" fontId="2" fillId="0" borderId="13" xfId="0" applyFont="1" applyBorder="1" applyAlignment="1">
      <x:alignment horizontal="center" vertical="center" wrapText="1"/>
    </x:xf>
    <x:xf numFmtId="0" fontId="2" fillId="0" borderId="15" xfId="0" applyFont="1" applyBorder="1" applyAlignment="1">
      <x:alignment horizontal="center" vertical="center" wrapText="1"/>
    </x:xf>
    <x:xf numFmtId="2" fontId="0" fillId="0" borderId="13" xfId="0" applyNumberFormat="1" applyFill="1" applyBorder="1" applyAlignment="1">
      <x:alignment horizontal="center" vertical="center"/>
    </x:xf>
    <x:xf numFmtId="2" fontId="0" fillId="0" borderId="15" xfId="0" applyNumberFormat="1" applyFill="1" applyBorder="1" applyAlignment="1">
      <x:alignment horizontal="center" vertical="center"/>
    </x:xf>
    <x:xf numFmtId="0" fontId="2" fillId="0" borderId="17" xfId="0" applyNumberFormat="1" applyFont="1" applyFill="1" applyBorder="1" applyAlignment="1">
      <x:alignment horizontal="center" vertical="center" wrapText="1"/>
    </x:xf>
    <x:xf numFmtId="0" fontId="0" fillId="3" borderId="17" xfId="0" applyNumberFormat="1" applyFont="1" applyFill="1" applyBorder="1" applyAlignment="1">
      <x:alignment horizontal="center" vertical="center" wrapText="1"/>
    </x:xf>
    <x:xf numFmtId="200" fontId="2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/>
    <x:xf numFmtId="200" fontId="0" fillId="3" borderId="1" xfId="0" applyNumberFormat="1" applyFont="1" applyFill="1" applyBorder="1"/>
    <x:xf numFmtId="200" fontId="0" fillId="0" borderId="20" xfId="0" applyNumberFormat="1" applyFont="1" applyFill="1" applyBorder="1"/>
    <x:xf numFmtId="200" fontId="0" fillId="0" borderId="0" xfId="0" applyNumberFormat="1" applyFont="1" applyFill="1" applyBorder="1"/>
    <x:xf numFmtId="201" fontId="0" fillId="0" borderId="1" xfId="0" applyNumberFormat="1" applyFont="1" applyFill="1" applyBorder="1"/>
    <x:xf numFmtId="201" fontId="0" fillId="0" borderId="20" xfId="0" applyNumberFormat="1" applyFont="1" applyFill="1" applyBorder="1"/>
    <x:xf numFmtId="201" fontId="0" fillId="0" borderId="0" xfId="0" applyNumberFormat="1" applyFont="1" applyFill="1" applyBorder="1"/>
    <x:xf numFmtId="0" fontId="0" fillId="5" borderId="0" xfId="0" applyNumberFormat="1" applyFont="1" applyFill="1" applyBorder="1"/>
    <x:xf numFmtId="2" fontId="0" fillId="5" borderId="0" xfId="0" applyNumberFormat="1" applyFont="1" applyFill="1" applyBorder="1"/>
    <x:xf numFmtId="0" fontId="7" fillId="5" borderId="0" xfId="0" applyNumberFormat="1" applyFont="1" applyFill="1" applyBorder="1"/>
    <x:xf numFmtId="2" fontId="7" fillId="5" borderId="0" xfId="0" applyNumberFormat="1" applyFont="1" applyFill="1" applyBorder="1"/>
    <x:xf numFmtId="0" fontId="7" fillId="5" borderId="22" xfId="0" applyNumberFormat="1" applyFont="1" applyFill="1" applyBorder="1"/>
    <x:xf numFmtId="0" fontId="7" fillId="5" borderId="23" xfId="0" applyNumberFormat="1" applyFont="1" applyFill="1" applyBorder="1"/>
    <x:xf numFmtId="2" fontId="7" fillId="5" borderId="23" xfId="0" applyNumberFormat="1" applyFont="1" applyFill="1" applyBorder="1"/>
    <x:xf numFmtId="0" fontId="7" fillId="5" borderId="24" xfId="0" applyNumberFormat="1" applyFont="1" applyFill="1" applyBorder="1"/>
    <x:xf numFmtId="0" fontId="7" fillId="5" borderId="22" xfId="0" applyNumberFormat="1" applyFont="1" applyFill="1" applyBorder="1" applyAlignment="1">
      <x:alignment horizontal="center"/>
    </x:xf>
    <x:xf numFmtId="0" fontId="7" fillId="5" borderId="23" xfId="0" applyNumberFormat="1" applyFont="1" applyFill="1" applyBorder="1" applyAlignment="1">
      <x:alignment horizontal="center"/>
    </x:xf>
    <x:xf numFmtId="2" fontId="7" fillId="5" borderId="23" xfId="0" applyNumberFormat="1" applyFont="1" applyFill="1" applyBorder="1" applyAlignment="1">
      <x:alignment horizontal="center"/>
    </x:xf>
    <x:xf numFmtId="0" fontId="7" fillId="5" borderId="24" xfId="0" applyNumberFormat="1" applyFont="1" applyFill="1" applyBorder="1" applyAlignment="1">
      <x:alignment horizontal="center"/>
    </x:xf>
    <x:xf numFmtId="0" fontId="7" fillId="5" borderId="22" xfId="0" applyNumberFormat="1" applyFont="1" applyFill="1" applyBorder="1" applyAlignment="1">
      <x:alignment horizontal="center" vertical="center"/>
    </x:xf>
    <x:xf numFmtId="0" fontId="7" fillId="5" borderId="23" xfId="0" applyNumberFormat="1" applyFont="1" applyFill="1" applyBorder="1" applyAlignment="1">
      <x:alignment horizontal="center" vertical="center"/>
    </x:xf>
    <x:xf numFmtId="2" fontId="7" fillId="5" borderId="23" xfId="0" applyNumberFormat="1" applyFont="1" applyFill="1" applyBorder="1" applyAlignment="1">
      <x:alignment horizontal="center" vertical="center"/>
    </x:xf>
    <x:xf numFmtId="0" fontId="7" fillId="5" borderId="24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 applyAlignment="1">
      <x:alignment horizontal="center" vertical="center" wrapText="1"/>
    </x:xf>
    <x:xf numFmtId="0" fontId="8" fillId="6" borderId="0" xfId="0" applyNumberFormat="1" applyFont="1" applyFill="1" applyBorder="1" applyAlignment="1">
      <x:alignment horizontal="center" vertical="center" wrapText="1"/>
    </x:xf>
    <x:xf numFmtId="0" fontId="8" fillId="6" borderId="25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26" xfId="0" applyNumberFormat="1" applyFont="1" applyFill="1" applyBorder="1"/>
    <x:xf numFmtId="0" fontId="0" fillId="0" borderId="27" xfId="0" applyNumberFormat="1" applyFont="1" applyFill="1" applyBorder="1"/>
    <x:xf numFmtId="2" fontId="0" fillId="0" borderId="27" xfId="0" applyNumberFormat="1" applyFont="1" applyFill="1" applyBorder="1"/>
    <x:xf numFmtId="0" fontId="0" fillId="8" borderId="27" xfId="0" applyNumberFormat="1" applyFont="1" applyFill="1" applyBorder="1"/>
    <x:xf numFmtId="0" fontId="9" fillId="8" borderId="27" xfId="0" applyNumberFormat="1" applyFont="1" applyFill="1" applyBorder="1"/>
    <x:xf numFmtId="0" fontId="9" fillId="8" borderId="28" xfId="0" applyNumberFormat="1" applyFont="1" applyFill="1" applyBorder="1"/>
    <x:xf numFmtId="0" fontId="8" fillId="9" borderId="25" xfId="0" applyNumberFormat="1" applyFont="1" applyFill="1" applyBorder="1" applyAlignment="1">
      <x:alignment horizontal="center" vertical="center" wrapText="1"/>
    </x:xf>
    <x:xf numFmtId="200" fontId="2" fillId="7" borderId="26" xfId="0" applyNumberFormat="1" applyFont="1" applyFill="1" applyBorder="1"/>
    <x:xf numFmtId="200" fontId="0" fillId="0" borderId="27" xfId="0" applyNumberFormat="1" applyFont="1" applyFill="1" applyBorder="1"/>
    <x:xf numFmtId="200" fontId="9" fillId="8" borderId="28" xfId="0" applyNumberFormat="1" applyFont="1" applyFill="1" applyBorder="1"/>
    <x:xf numFmtId="202" fontId="2" fillId="7" borderId="26" xfId="0" applyNumberFormat="1" applyFont="1" applyFill="1" applyBorder="1"/>
    <x:xf numFmtId="202" fontId="0" fillId="0" borderId="27" xfId="0" applyNumberFormat="1" applyFont="1" applyFill="1" applyBorder="1"/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25" xfId="0" applyNumberFormat="1" applyFont="1" applyFill="1" applyBorder="1"/>
    <x:xf numFmtId="0" fontId="10" fillId="10" borderId="25" xfId="0" applyNumberFormat="1" applyFont="1" applyFill="1" applyBorder="1" applyAlignment="1">
      <x:alignment wrapText="1"/>
    </x:xf>
    <x:xf numFmtId="0" fontId="10" fillId="10" borderId="25" xfId="0" applyNumberFormat="1" applyFont="1" applyFill="1" applyBorder="1" applyAlignment="1">
      <x:alignment horizontal="center" wrapText="1"/>
    </x:xf>
    <x:xf numFmtId="0" fontId="10" fillId="10" borderId="25" xfId="0" applyNumberFormat="1" applyFont="1" applyFill="1" applyBorder="1" applyAlignment="1">
      <x:alignment horizontal="center" vertical="center" wrapText="1"/>
    </x:xf>
    <x:xf numFmtId="0" fontId="10" fillId="11" borderId="25" xfId="0" applyNumberFormat="1" applyFont="1" applyFill="1" applyBorder="1" applyAlignment="1">
      <x:alignment horizontal="center" vertical="center" wrapText="1"/>
    </x:xf>
    <x:xf numFmtId="0" fontId="10" fillId="12" borderId="2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10" fillId="13" borderId="25" xfId="0" applyNumberFormat="1" applyFont="1" applyFill="1" applyBorder="1" applyAlignment="1">
      <x:alignment horizontal="center" vertical="center" wrapText="1"/>
    </x:xf>
    <x:xf numFmtId="0" fontId="10" fillId="14" borderId="25" xfId="0" applyNumberFormat="1" applyFont="1" applyFill="1" applyBorder="1" applyAlignment="1">
      <x:alignment horizontal="center" vertical="center" wrapText="1"/>
    </x:xf>
    <x:xf numFmtId="0" fontId="10" fillId="15" borderId="25" xfId="0" applyNumberFormat="1" applyFont="1" applyFill="1" applyBorder="1" applyAlignment="1">
      <x:alignment horizontal="center" vertical="center" wrapText="1"/>
    </x:xf>
    <x:xf numFmtId="0" fontId="10" fillId="13" borderId="25" xfId="0" applyNumberFormat="1" applyFont="1" applyFill="1" applyBorder="1"/>
  </x:cellXfs>
  <x:cellStyles count="2">
    <x:cellStyle name="Обычный" xfId="0"/>
    <x:cellStyle name="Процентный" xfId="1"/>
  </x:cellStyles>
  <x:dxfs count="5">
    <x:dxf>
      <x:fill>
        <x:patternFill>
          <x:bgColor rgb="FFC00000"/>
        </x:patternFill>
      </x:fill>
    </x:dxf>
    <x:dxf>
      <x:fill>
        <x:patternFill>
          <x:bgColor rgb="FFC00000"/>
        </x:patternFill>
      </x:fill>
    </x:dxf>
    <x:dxf>
      <x:fill>
        <x:patternFill>
          <x:bgColor rgb="FFC00000"/>
        </x:patternFill>
      </x:fill>
    </x:dxf>
    <x:dxf>
      <x:fill>
        <x:patternFill>
          <x:bgColor rgb="FFC00000"/>
        </x:patternFill>
      </x:fill>
    </x:dxf>
    <x:dxf>
      <x:fill>
        <x:patternFill>
          <x:bgColor rgb="FFC0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9dec6418404464" /><Relationship Type="http://schemas.openxmlformats.org/officeDocument/2006/relationships/theme" Target="/xl/theme/theme1.xml" Id="R69052fd59c75417f" /><Relationship Type="http://schemas.openxmlformats.org/officeDocument/2006/relationships/sharedStrings" Target="/xl/sharedStrings.xml" Id="R165f9de7033443f8" /><Relationship Type="http://schemas.openxmlformats.org/officeDocument/2006/relationships/worksheet" Target="/xl/worksheets/sheet1.xml" Id="Ra5e2c07d54ba49af" /><Relationship Type="http://schemas.openxmlformats.org/officeDocument/2006/relationships/worksheet" Target="/xl/worksheets/sheet2.xml" Id="R88c36aabcb0d4ed8" /><Relationship Type="http://schemas.microsoft.com/office/2017/10/relationships/person" Target="/xl/persons/person.xml" Id="R0cf4e3f973bc4708" /></Relationships>
</file>

<file path=xl/persons/person.xml><?xml version="1.0" encoding="utf-8"?>
<xltc:personList xmlns:xltc="http://schemas.microsoft.com/office/spreadsheetml/2018/threadedcomments">
  <xltc:person displayName="konst_3" id="{0434D3DF-7702-165B-6B06-1C8DFE12FA8A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4c3b8ad4108e45ff" /><Relationship Type="http://schemas.openxmlformats.org/officeDocument/2006/relationships/vmlDrawing" Target="/xl/drawings/vmldrawing.vml" Id="Rf94b714fb40b4376" /></Relationships>
</file>

<file path=xl/worksheets/sheet1.xml><?xml version="1.0" encoding="utf-8"?>
<x:worksheet xmlns:x="http://schemas.openxmlformats.org/spreadsheetml/2006/main">
  <x:sheetFormatPr defaultRowHeight="14.399999618530273"/>
  <x:cols>
    <x:col min="1" max="1" width="13.6640625" customWidth="1"/>
    <x:col min="2" max="2" width="25.6640625" customWidth="1"/>
    <x:col min="3" max="3" width="8.33203125" customWidth="1"/>
    <x:col min="4" max="4" width="10.33203125" customWidth="1"/>
    <x:col min="5" max="5" width="11.109375" customWidth="1"/>
    <x:col min="6" max="6" width="11.6640625" customWidth="1"/>
    <x:col min="7" max="7" width="14.33203125" customWidth="1"/>
    <x:col min="8" max="8" width="12.88671875" customWidth="1"/>
    <x:col min="9" max="36" width="13.6640625" customWidth="1"/>
    <x:col min="37" max="37" width="16" customWidth="1"/>
    <x:col min="38" max="51" width="17.88671875" customWidth="1"/>
    <x:col min="38" max="38" width="16" hidden="0" customWidth="1"/>
    <x:col min="39" max="39" width="19" hidden="0" customWidth="1"/>
    <x:col min="40" max="40" width="16" hidden="0" customWidth="1"/>
    <x:col min="41" max="41" width="18" hidden="0" customWidth="1"/>
    <x:col min="42" max="42" width="18" hidden="0" customWidth="1"/>
    <x:col min="43" max="43" width="22" hidden="0" customWidth="1"/>
    <x:col min="44" max="44" width="16" hidden="0" customWidth="1"/>
    <x:col min="45" max="45" width="20" hidden="0" customWidth="1"/>
    <x:col min="46" max="46" width="17" hidden="0" customWidth="1"/>
    <x:col min="47" max="47" width="18" hidden="0" customWidth="1"/>
    <x:col min="48" max="48" width="13" hidden="0" customWidth="1"/>
    <x:col min="49" max="49" width="22" hidden="0" customWidth="1"/>
    <x:col min="50" max="50" width="22" hidden="0" customWidth="1"/>
    <x:col min="51" max="51" width="20" hidden="0" customWidth="1"/>
  </x:cols>
  <x:sheetData>
    <x:row r="1" ht="15">
      <x:c r="A1" s="15">
        <x:v>1</x:v>
      </x:c>
      <x:c r="B1" s="16">
        <x:v>2</x:v>
      </x:c>
      <x:c r="C1" s="16">
        <x:v>3</x:v>
      </x:c>
      <x:c r="D1" s="16">
        <x:v>4</x:v>
      </x:c>
      <x:c r="E1" s="16">
        <x:v>5</x:v>
      </x:c>
      <x:c r="F1" s="16">
        <x:v>6</x:v>
      </x:c>
      <x:c r="G1" s="16">
        <x:v>7</x:v>
      </x:c>
      <x:c r="H1" s="16">
        <x:v>8</x:v>
      </x:c>
      <x:c r="I1" s="16">
        <x:v>9</x:v>
      </x:c>
      <x:c r="J1" s="16">
        <x:v>10</x:v>
      </x:c>
      <x:c r="K1" s="16">
        <x:v>11</x:v>
      </x:c>
      <x:c r="L1" s="16">
        <x:v>12</x:v>
      </x:c>
      <x:c r="M1" s="16">
        <x:v>13</x:v>
      </x:c>
      <x:c r="N1" s="16">
        <x:v>14</x:v>
      </x:c>
      <x:c r="O1" s="16">
        <x:v>15</x:v>
      </x:c>
      <x:c r="P1" s="16">
        <x:v>16</x:v>
      </x:c>
      <x:c r="Q1" s="16">
        <x:v>17</x:v>
      </x:c>
      <x:c r="R1" s="16">
        <x:v>18</x:v>
      </x:c>
      <x:c r="S1" s="16">
        <x:v>19</x:v>
      </x:c>
      <x:c r="T1" s="16">
        <x:v>20</x:v>
      </x:c>
      <x:c r="U1" s="16">
        <x:v>21</x:v>
      </x:c>
      <x:c r="V1" s="16">
        <x:v>22</x:v>
      </x:c>
      <x:c r="W1" s="16">
        <x:v>23</x:v>
      </x:c>
      <x:c r="X1" s="16">
        <x:v>24</x:v>
      </x:c>
      <x:c r="Y1" s="16">
        <x:v>25</x:v>
      </x:c>
      <x:c r="Z1" s="16">
        <x:v>26</x:v>
      </x:c>
      <x:c r="AA1" s="16">
        <x:v>27</x:v>
      </x:c>
      <x:c r="AB1" s="16">
        <x:v>28</x:v>
      </x:c>
      <x:c r="AC1" s="16">
        <x:v>29</x:v>
      </x:c>
      <x:c r="AD1" s="16">
        <x:v>30</x:v>
      </x:c>
      <x:c r="AE1" s="16">
        <x:v>31</x:v>
      </x:c>
      <x:c r="AF1" s="16">
        <x:v>32</x:v>
      </x:c>
      <x:c r="AG1" s="16">
        <x:v>33</x:v>
      </x:c>
      <x:c r="AH1" s="16"/>
      <x:c r="AI1" s="16"/>
      <x:c r="AJ1" s="16"/>
      <x:c r="AK1" s="16"/>
      <x:c r="AL1" s="16"/>
      <x:c r="AM1" s="16"/>
      <x:c r="AN1" s="16"/>
      <x:c r="AO1" s="16"/>
      <x:c r="AP1" s="16"/>
      <x:c r="AQ1" s="16"/>
      <x:c r="AR1" s="16"/>
      <x:c r="AS1" s="16"/>
      <x:c r="AT1" s="16"/>
      <x:c r="AU1" s="16"/>
      <x:c r="AV1" s="16"/>
      <x:c r="AW1" s="16"/>
      <x:c r="AX1" s="16"/>
      <x:c r="AY1" s="16"/>
    </x:row>
    <x:row r="2" ht="50.099998474121094" customHeight="1">
      <x:c r="A2" s="17"/>
      <x:c r="B2" s="18"/>
      <x:c r="C2" s="18"/>
      <x:c r="D2" s="18"/>
      <x:c r="E2" s="43"/>
      <x:c r="F2" s="43"/>
      <x:c r="G2" s="43"/>
      <x:c r="H2" s="39"/>
      <x:c r="I2" s="18"/>
      <x:c r="J2" s="18"/>
      <x:c r="K2" s="34" t="s">
        <x:v>0</x:v>
      </x:c>
      <x:c r="L2" s="34" t="s">
        <x:v>1</x:v>
      </x:c>
      <x:c r="M2" s="34" t="s">
        <x:v>2</x:v>
      </x:c>
      <x:c r="N2" s="34" t="s">
        <x:v>3</x:v>
      </x:c>
      <x:c r="O2" s="34" t="s">
        <x:v>4</x:v>
      </x:c>
      <x:c r="P2" s="34" t="s">
        <x:v>5</x:v>
      </x:c>
      <x:c r="Q2" s="34" t="s">
        <x:v>6</x:v>
      </x:c>
      <x:c r="R2" s="18"/>
      <x:c r="S2" s="18"/>
      <x:c r="T2" s="18"/>
      <x:c r="U2" s="18"/>
      <x:c r="V2" s="18"/>
      <x:c r="W2" s="18"/>
      <x:c r="X2" s="18"/>
      <x:c r="Y2" s="18"/>
      <x:c r="Z2" s="18"/>
      <x:c r="AA2" s="18"/>
      <x:c r="AB2" s="18"/>
      <x:c r="AC2" s="18"/>
      <x:c r="AD2" s="18"/>
      <x:c r="AE2" s="18"/>
      <x:c r="AF2" s="18"/>
      <x:c r="AG2" s="18"/>
      <x:c r="AH2" s="18"/>
      <x:c r="AI2" s="18"/>
      <x:c r="AJ2" s="18"/>
      <x:c r="AK2" s="19"/>
    </x:row>
    <x:row r="3" ht="35.099998474121094" customHeight="1">
      <x:c r="A3" s="17"/>
      <x:c r="B3" s="18"/>
      <x:c r="C3" s="18"/>
      <x:c r="D3" s="18"/>
      <x:c r="E3" s="43"/>
      <x:c r="F3" s="43"/>
      <x:c r="G3" s="43"/>
      <x:c r="H3" s="39"/>
      <x:c r="I3" s="18"/>
      <x:c r="J3" s="26" t="s">
        <x:v>7</x:v>
      </x:c>
      <x:c r="K3" s="33" t="str">
        <x:f>IFERROR(K4/R7,"")</x:f>
      </x:c>
      <x:c r="L3" s="33" t="str">
        <x:f>IFERROR(L7/R7,"")</x:f>
      </x:c>
      <x:c r="M3" s="33" t="str">
        <x:f>IFERROR(M7/R7,"")</x:f>
      </x:c>
      <x:c r="N3" s="33" t="str">
        <x:f>IFERROR(V7/R7,"")</x:f>
      </x:c>
      <x:c r="O3" s="33" t="str">
        <x:f>IFERROR(Y7/R7,"")</x:f>
      </x:c>
      <x:c r="P3" s="33" t="str">
        <x:f>IFERROR((W7+X7+Z7+AA7+AB7+AC7+AD7+AE7+AF7)/R7,"")</x:f>
      </x:c>
      <x:c r="Q3" s="33" t="n">
        <x:f>SUM(N3:P3)</x:f>
        <x:v>0</x:v>
      </x:c>
      <x:c r="R3" s="18"/>
      <x:c r="S3" s="18"/>
      <x:c r="T3" s="18"/>
      <x:c r="U3" s="18"/>
      <x:c r="V3" s="18"/>
      <x:c r="W3" s="18"/>
      <x:c r="X3" s="18"/>
      <x:c r="Y3" s="18"/>
      <x:c r="Z3" s="18"/>
      <x:c r="AA3" s="18"/>
      <x:c r="AB3" s="18"/>
      <x:c r="AC3" s="18"/>
      <x:c r="AD3" s="18"/>
      <x:c r="AE3" s="18"/>
      <x:c r="AF3" s="18"/>
      <x:c r="AG3" s="18"/>
      <x:c r="AH3" s="18"/>
      <x:c r="AI3" s="18"/>
      <x:c r="AJ3" s="18"/>
      <x:c r="AK3" s="19"/>
    </x:row>
    <x:row r="4" ht="24" customHeight="1">
      <x:c r="A4" s="17"/>
      <x:c r="B4" s="18"/>
      <x:c r="C4" s="18"/>
      <x:c r="D4" s="18"/>
      <x:c r="E4" s="52" t="str">
        <x:v>Нераспределенные доходы / расходы:</x:v>
      </x:c>
      <x:c r="F4" s="53"/>
      <x:c r="G4" s="54"/>
      <x:c r="H4" s="14"/>
      <x:c r="I4" s="18"/>
      <x:c r="J4" s="59" t="s">
        <x:v>8</x:v>
      </x:c>
      <x:c r="K4" s="61" t="n">
        <x:f>G7+L7+H4</x:f>
        <x:v>0</x:v>
      </x:c>
      <x:c r="L4" s="55" t="n">
        <x:f>L7+H4</x:f>
        <x:v>0</x:v>
      </x:c>
      <x:c r="M4" s="57" t="n">
        <x:f>M7+H4</x:f>
        <x:v>0</x:v>
      </x:c>
      <x:c r="N4" s="48" t="s">
        <x:v>9</x:v>
      </x:c>
      <x:c r="O4" s="50" t="n">
        <x:f>R7-P7</x:f>
        <x:v>0</x:v>
      </x:c>
      <x:c r="P4" s="44">
        <x:v>0.04</x:v>
      </x:c>
      <x:c r="Q4" s="46"/>
      <x:c r="R4" s="18"/>
      <x:c r="S4" s="18"/>
      <x:c r="T4" s="18"/>
      <x:c r="U4" s="18"/>
      <x:c r="V4" s="18"/>
      <x:c r="W4" s="18"/>
      <x:c r="X4" s="18"/>
      <x:c r="Y4" s="18"/>
      <x:c r="Z4" s="18"/>
      <x:c r="AA4" s="18"/>
      <x:c r="AB4" s="18"/>
      <x:c r="AC4" s="18"/>
      <x:c r="AD4" s="18"/>
      <x:c r="AE4" s="18"/>
      <x:c r="AF4" s="18"/>
      <x:c r="AG4" s="18"/>
      <x:c r="AH4" s="18"/>
      <x:c r="AI4" s="18"/>
      <x:c r="AJ4" s="18"/>
      <x:c r="AK4" s="19"/>
      <x:c r="AL4" s="85" t="str">
        <x:v>Сценарный расчёт доходности при плановой цене</x:v>
      </x:c>
      <x:c r="AM4" s="86"/>
      <x:c r="AN4" s="86"/>
      <x:c r="AO4" s="86"/>
      <x:c r="AP4" s="87"/>
      <x:c r="AQ4" s="86"/>
      <x:c r="AR4" s="86"/>
      <x:c r="AS4" s="86"/>
      <x:c r="AT4" s="86"/>
      <x:c r="AU4" s="86"/>
      <x:c r="AV4" s="86"/>
      <x:c r="AW4" s="86"/>
      <x:c r="AX4" s="86"/>
      <x:c r="AY4" s="88"/>
    </x:row>
    <x:row r="5" ht="15">
      <x:c r="A5" s="17"/>
      <x:c r="B5" s="18"/>
      <x:c r="C5" s="18"/>
      <x:c r="D5" s="18"/>
      <x:c r="E5" s="18"/>
      <x:c r="F5" s="18"/>
      <x:c r="G5" s="18"/>
      <x:c r="H5" s="18"/>
      <x:c r="I5" s="18"/>
      <x:c r="J5" s="60"/>
      <x:c r="K5" s="62"/>
      <x:c r="L5" s="56"/>
      <x:c r="M5" s="58"/>
      <x:c r="N5" s="49"/>
      <x:c r="O5" s="51"/>
      <x:c r="P5" s="45"/>
      <x:c r="Q5" s="47"/>
      <x:c r="R5" s="18"/>
      <x:c r="S5" s="18"/>
      <x:c r="T5" s="18"/>
      <x:c r="U5" s="18"/>
      <x:c r="V5" s="18"/>
      <x:c r="W5" s="18"/>
      <x:c r="X5" s="18"/>
      <x:c r="Y5" s="18"/>
      <x:c r="Z5" s="18"/>
      <x:c r="AA5" s="18"/>
      <x:c r="AB5" s="18"/>
      <x:c r="AC5" s="18"/>
      <x:c r="AD5" s="18"/>
      <x:c r="AE5" s="18"/>
      <x:c r="AF5" s="18"/>
      <x:c r="AG5" s="18"/>
      <x:c r="AH5" s="18"/>
      <x:c r="AI5" s="18"/>
      <x:c r="AJ5" s="18"/>
      <x:c r="AK5" s="19"/>
      <x:c r="AP5" s="41"/>
    </x:row>
    <x:row r="6" ht="74" customHeight="1">
      <x:c r="A6" s="27" t="s">
        <x:v>10</x:v>
      </x:c>
      <x:c r="B6" s="28" t="s">
        <x:v>11</x:v>
      </x:c>
      <x:c r="C6" s="29" t="s">
        <x:v>12</x:v>
      </x:c>
      <x:c r="D6" s="29" t="s">
        <x:v>13</x:v>
      </x:c>
      <x:c r="E6" s="29" t="s">
        <x:v>14</x:v>
      </x:c>
      <x:c r="F6" s="29" t="s">
        <x:v>15</x:v>
      </x:c>
      <x:c r="G6" s="29" t="s">
        <x:v>16</x:v>
      </x:c>
      <x:c r="H6" s="29" t="s">
        <x:v>17</x:v>
      </x:c>
      <x:c r="I6" s="29" t="s">
        <x:v>18</x:v>
      </x:c>
      <x:c r="J6" s="29" t="s">
        <x:v>19</x:v>
      </x:c>
      <x:c r="K6" s="29" t="s">
        <x:v>20</x:v>
      </x:c>
      <x:c r="L6" s="29" t="s">
        <x:v>21</x:v>
      </x:c>
      <x:c r="M6" s="29" t="s">
        <x:v>22</x:v>
      </x:c>
      <x:c r="N6" s="29" t="s">
        <x:v>23</x:v>
      </x:c>
      <x:c r="O6" s="29" t="s">
        <x:v>24</x:v>
      </x:c>
      <x:c r="P6" s="29" t="s">
        <x:v>25</x:v>
      </x:c>
      <x:c r="Q6" s="63" t="str">
        <x:v>Кол-во продаж</x:v>
      </x:c>
      <x:c r="R6" s="64" t="str">
        <x:v>Выручка
(вкл. баллы)</x:v>
      </x:c>
      <x:c r="S6" s="64" t="str">
        <x:v>Выручка без баллов</x:v>
      </x:c>
      <x:c r="T6" s="64" t="str">
        <x:v>Программы партнёров</x:v>
      </x:c>
      <x:c r="U6" s="64" t="str">
        <x:v>Баллы за скидки</x:v>
      </x:c>
      <x:c r="V6" s="64" t="str">
        <x:v>Комиссия Ozon</x:v>
      </x:c>
      <x:c r="W6" s="64" t="str">
        <x:v>Обработка отправления Drop-off</x:v>
      </x:c>
      <x:c r="X6" s="64" t="str">
        <x:v>Доставка до места выдачи</x:v>
      </x:c>
      <x:c r="Y6" s="64" t="str">
        <x:v>Логистика</x:v>
      </x:c>
      <x:c r="Z6" s="64" t="str">
        <x:v>Обратная логистика</x:v>
      </x:c>
      <x:c r="AA6" s="64" t="str">
        <x:v>Возвраты, отмены и невыкупы</x:v>
      </x:c>
      <x:c r="AB6" s="64" t="str">
        <x:v>Эквайринг</x:v>
      </x:c>
      <x:c r="AC6" s="64" t="str">
        <x:v>Продвижение «Звёздные товары»</x:v>
      </x:c>
      <x:c r="AD6" s="64" t="str">
        <x:v>Упаковка и материалы</x:v>
      </x:c>
      <x:c r="AE6" s="64" t="str">
        <x:v>Компенсации Ozon</x:v>
      </x:c>
      <x:c r="AF6" s="64" t="str">
        <x:v>Прочие начисления по товару</x:v>
      </x:c>
      <x:c r="AG6" s="64" t="str">
        <x:v>Финансовый результат после начислений Ozon</x:v>
      </x:c>
      <x:c r="AH6" s="31"/>
      <x:c r="AI6" s="30"/>
      <x:c r="AJ6" s="30"/>
      <x:c r="AK6" s="32"/>
      <x:c r="AL6" s="91" t="str">
        <x:v>Текущая средняя цена</x:v>
      </x:c>
      <x:c r="AM6" s="91" t="str">
        <x:v>Изменение к текущей цене, %</x:v>
      </x:c>
      <x:c r="AN6" s="100" t="str">
        <x:v>Плановая цена (ввод)</x:v>
      </x:c>
      <x:c r="AO6" s="91" t="str">
        <x:v>Доходность при плановой цене</x:v>
      </x:c>
      <x:c r="AP6" s="91" t="str">
        <x:v>Затраты Ozon без комиссии</x:v>
      </x:c>
      <x:c r="AQ6" s="91" t="str">
        <x:v>Выручка при плановой цене и текущем объёме</x:v>
      </x:c>
      <x:c r="AR6" s="91" t="str">
        <x:v>Средняя комиссия Ozon, %</x:v>
      </x:c>
      <x:c r="AS6" s="91" t="str">
        <x:v>Комиссия Ozon при плановой цене</x:v>
      </x:c>
      <x:c r="AT6" s="91" t="str">
        <x:v>Баллы при плановой цене</x:v>
      </x:c>
      <x:c r="AU6" s="91" t="str">
        <x:v>Налогооблагаемая база</x:v>
      </x:c>
      <x:c r="AV6" s="91" t="str">
        <x:v>Налог</x:v>
      </x:c>
      <x:c r="AW6" s="91" t="str">
        <x:v>Прибыль от продаж при плановой цене</x:v>
      </x:c>
      <x:c r="AX6" s="91" t="str">
        <x:v>Прибыль от продаж на ед. при плановой цене</x:v>
      </x:c>
      <x:c r="AY6" s="91" t="str">
        <x:v>Чистая прибыль на ед. при плановой цене</x:v>
      </x:c>
    </x:row>
    <x:row r="7" ht="14.399999618530273" customHeight="1">
      <x:c r="A7" s="20" t="s">
        <x:v>26</x:v>
      </x:c>
      <x:c r="B7" s="1"/>
      <x:c r="C7" s="5"/>
      <x:c r="D7" s="5"/>
      <x:c r="E7" s="5">
        <x:v>30</x:v>
      </x:c>
      <x:c r="F7" s="7" t="n">
        <x:f>SUM(F8:F43)</x:f>
        <x:v>0</x:v>
      </x:c>
      <x:c r="G7" s="8" t="n">
        <x:f>SUM(G8:G43)</x:f>
        <x:v>0</x:v>
      </x:c>
      <x:c r="H7" s="7" t="n">
        <x:f>SUM(H8:H43)</x:f>
        <x:v>0</x:v>
      </x:c>
      <x:c r="I7" s="7" t="n">
        <x:f>IFERROR(L7/H7,0)</x:f>
        <x:v>0</x:v>
      </x:c>
      <x:c r="J7" s="7"/>
      <x:c r="K7" s="7"/>
      <x:c r="L7" s="8" t="n">
        <x:f>SUM(L8:L43)</x:f>
        <x:v>0</x:v>
      </x:c>
      <x:c r="M7" s="7" t="n">
        <x:f>SUM(M8:M43)</x:f>
        <x:v>0</x:v>
      </x:c>
      <x:c r="N7" s="7"/>
      <x:c r="O7" s="7" t="n">
        <x:f t="shared" ref="O7:AJ7" si="0">SUM(O8:O43)</x:f>
        <x:v>0</x:v>
      </x:c>
      <x:c r="P7" s="7" t="n">
        <x:f t="shared" si="0">SUM(P8:P43)</x:f>
        <x:v>0</x:v>
      </x:c>
      <x:c r="Q7" s="65" t="n">
        <x:f t="shared" si="0">SUM(Q8:Q43)</x:f>
        <x:v>0</x:v>
      </x:c>
      <x:c r="R7" s="65" t="n">
        <x:f t="shared" si="0">SUM(R8:R43)</x:f>
        <x:v>0</x:v>
      </x:c>
      <x:c r="S7" s="65" t="n">
        <x:f t="shared" si="0">SUM(S8:S43)</x:f>
        <x:v>0</x:v>
      </x:c>
      <x:c r="T7" s="65" t="n">
        <x:f t="shared" si="0">SUM(T8:T43)</x:f>
        <x:v>0</x:v>
      </x:c>
      <x:c r="U7" s="65" t="n">
        <x:f t="shared" si="0">SUM(U8:U43)</x:f>
        <x:v>0</x:v>
      </x:c>
      <x:c r="V7" s="65" t="n">
        <x:f t="shared" si="0">SUM(V8:V43)</x:f>
        <x:v>0</x:v>
      </x:c>
      <x:c r="W7" s="65" t="n">
        <x:f t="shared" si="0">SUM(W8:W43)</x:f>
        <x:v>0</x:v>
      </x:c>
      <x:c r="X7" s="65" t="n">
        <x:f t="shared" si="0">SUM(X8:X43)</x:f>
        <x:v>0</x:v>
      </x:c>
      <x:c r="Y7" s="65" t="n">
        <x:f t="shared" si="0">SUM(Y8:Y43)</x:f>
        <x:v>0</x:v>
      </x:c>
      <x:c r="Z7" s="65" t="n">
        <x:f t="shared" si="0">SUM(Z8:Z43)</x:f>
        <x:v>0</x:v>
      </x:c>
      <x:c r="AA7" s="65" t="n">
        <x:f t="shared" si="0">SUM(AA8:AA43)</x:f>
        <x:v>0</x:v>
      </x:c>
      <x:c r="AB7" s="65" t="n">
        <x:f t="shared" si="0">SUM(AB8:AB43)</x:f>
        <x:v>0</x:v>
      </x:c>
      <x:c r="AC7" s="65" t="n">
        <x:f t="shared" si="0">SUM(AC8:AC43)</x:f>
        <x:v>0</x:v>
      </x:c>
      <x:c r="AD7" s="65" t="n">
        <x:f t="shared" si="0">SUM(AD8:AD43)</x:f>
        <x:v>0</x:v>
      </x:c>
      <x:c r="AE7" s="65" t="n">
        <x:f t="shared" si="0">SUM(AE8:AE43)</x:f>
        <x:v>0</x:v>
      </x:c>
      <x:c r="AF7" s="65" t="n">
        <x:f t="shared" si="0">SUM(AF8:AF43)</x:f>
        <x:v>0</x:v>
      </x:c>
      <x:c r="AG7" s="65" t="n">
        <x:f>SUM(AG8:AG43)</x:f>
        <x:v>0</x:v>
      </x:c>
      <x:c r="AH7" s="7">
        <x:f t="shared" si="0"/>
      </x:c>
      <x:c r="AI7" s="7">
        <x:f t="shared" si="0"/>
      </x:c>
      <x:c r="AJ7" s="7">
        <x:f t="shared" si="0"/>
      </x:c>
      <x:c r="AK7" s="21" t="n">
        <x:f t="shared" ref="AK7" si="1">SUM(AK8:AK43)</x:f>
        <x:v>0</x:v>
      </x:c>
      <x:c r="AL7" s="101" t="str">
        <x:f>IFERROR(R7/Q7,"")</x:f>
      </x:c>
      <x:c r="AM7" s="104" t="str">
        <x:f>IF(OR(AL7="",AN7=""),"",IFERROR(AN7/AL7-1,0))</x:f>
      </x:c>
      <x:c r="AN7" s="101" t="str">
        <x:f>IFERROR(AQ7/Q7,"")</x:f>
      </x:c>
      <x:c r="AO7" s="104" t="n">
        <x:f>IFERROR((AW7-H7)/H7,0)</x:f>
        <x:v>0</x:v>
      </x:c>
      <x:c r="AP7" s="101" t="n">
        <x:f>SUM(AP8:AP43)</x:f>
        <x:v>0</x:v>
      </x:c>
      <x:c r="AQ7" s="101" t="n">
        <x:f>SUM(AQ8:AQ43)</x:f>
        <x:v>0</x:v>
      </x:c>
      <x:c r="AR7" s="104" t="n">
        <x:f>IFERROR(-V7/R7,0)</x:f>
        <x:v>0</x:v>
      </x:c>
      <x:c r="AS7" s="101" t="n">
        <x:f>SUM(AS8:AS43)</x:f>
        <x:v>0</x:v>
      </x:c>
      <x:c r="AT7" s="101" t="n">
        <x:f>SUM(AT8:AT43)</x:f>
        <x:v>0</x:v>
      </x:c>
      <x:c r="AU7" s="101" t="n">
        <x:f>SUM(AU8:AU43)</x:f>
        <x:v>0</x:v>
      </x:c>
      <x:c r="AV7" s="101" t="n">
        <x:f>SUM(AV8:AV43)</x:f>
        <x:v>0</x:v>
      </x:c>
      <x:c r="AW7" s="101" t="n">
        <x:f>SUM(AW8:AW43)</x:f>
        <x:v>0</x:v>
      </x:c>
      <x:c r="AX7" s="101" t="n">
        <x:f>IFERROR(AW7/Q7,0)</x:f>
        <x:v>0</x:v>
      </x:c>
      <x:c r="AY7" s="101" t="n">
        <x:f>IFERROR((AW7-H7)/Q7,0)</x:f>
        <x:v>0</x:v>
      </x:c>
    </x:row>
    <x:row r="8">
      <x:c r="A8" s="22" t="s">
        <x:v>27</x:v>
      </x:c>
      <x:c r="B8" s="2" t="s">
        <x:v>28</x:v>
      </x:c>
      <x:c r="C8" s="4" t="n">
        <x:f t="shared" ref="C8:C9" si="2">D8+E8</x:f>
        <x:v>28.25164469928644</x:v>
      </x:c>
      <x:c r="D8" s="4">
        <x:v>4.0516446992864426</x:v>
      </x:c>
      <x:c r="E8" s="3">
        <x:v>24.2</x:v>
      </x:c>
      <x:c r="F8" s="4" t="n">
        <x:f t="shared" ref="F8:F21" si="3">D8*Q8</x:f>
        <x:v>0</x:v>
      </x:c>
      <x:c r="G8" s="3" t="n">
        <x:f t="shared" ref="G8:G21" si="4">E8*Q8</x:f>
        <x:v>0</x:v>
      </x:c>
      <x:c r="H8" s="4" t="n">
        <x:f t="shared" ref="H8:H21" si="5">Q8*C8</x:f>
        <x:v>0</x:v>
      </x:c>
      <x:c r="I8" s="4" t="n">
        <x:f>IFERROR(J8/C8,0)</x:f>
        <x:v>0</x:v>
      </x:c>
      <x:c r="J8" s="4" t="n">
        <x:f>IFERROR(L8/Q8,0)</x:f>
        <x:v>0</x:v>
      </x:c>
      <x:c r="K8" s="4" t="n">
        <x:f>IFERROR(M8/Q8,0)</x:f>
        <x:v>0</x:v>
      </x:c>
      <x:c r="L8" s="4" t="n">
        <x:f t="shared" ref="L8:L21" si="6">M8-H8-O8</x:f>
        <x:v>0</x:v>
      </x:c>
      <x:c r="M8" s="4" t="n">
        <x:f>AG8</x:f>
        <x:v>0</x:v>
      </x:c>
      <x:c r="N8" s="4" t="str">
        <x:f>IFERROR(R8/Q8,"")</x:f>
      </x:c>
      <x:c r="O8" s="6" t="n">
        <x:f>P8*$P$4</x:f>
        <x:v>0</x:v>
      </x:c>
      <x:c r="P8" s="6" t="n">
        <x:f>S8+T8</x:f>
        <x:v>0</x:v>
      </x:c>
      <x:c r="Q8" s="70"/>
      <x:c r="R8" s="67" t="n">
        <x:f>SUM(S8:U8)</x:f>
        <x:v>0</x:v>
      </x:c>
      <x:c r="S8" s="67"/>
      <x:c r="T8" s="67"/>
      <x:c r="U8" s="67"/>
      <x:c r="V8" s="67"/>
      <x:c r="W8" s="67"/>
      <x:c r="X8" s="67"/>
      <x:c r="Y8" s="67"/>
      <x:c r="Z8" s="67"/>
      <x:c r="AA8" s="67"/>
      <x:c r="AB8" s="67"/>
      <x:c r="AC8" s="67"/>
      <x:c r="AD8" s="67"/>
      <x:c r="AE8" s="67"/>
      <x:c r="AF8" s="67"/>
      <x:c r="AG8" s="67" t="n">
        <x:f>SUM(S8:AF8)</x:f>
        <x:v>0</x:v>
      </x:c>
      <x:c r="AH8" s="2"/>
      <x:c r="AI8" s="10"/>
      <x:c r="AJ8" s="10"/>
      <x:c r="AK8" s="23"/>
      <x:c r="AL8" s="102" t="str">
        <x:f>IFERROR(R8/Q8,"")</x:f>
      </x:c>
      <x:c r="AM8" s="105" t="str">
        <x:f>IF(OR(AL8="",AN8=""),"",IFERROR(AN8/AL8-1,0))</x:f>
      </x:c>
      <x:c r="AN8" s="103" t="str">
        <x:f>IF(AL8="","",AL8)</x:f>
      </x:c>
      <x:c r="AO8" s="105" t="str">
        <x:f>IF(OR(Q8=0,AN8=""),"",IFERROR(AY8/C8,0))</x:f>
      </x:c>
      <x:c r="AP8" s="102" t="str">
        <x:f>IF(Q8=0,"",R8-M8+V8)</x:f>
      </x:c>
      <x:c r="AQ8" s="102" t="str">
        <x:f>IF(OR(AN8="",Q8=0),"",AN8*Q8)</x:f>
      </x:c>
      <x:c r="AR8" s="105" t="str">
        <x:f>IF(OR(R8=0,Q8=0),"",IFERROR(-V8/R8,0))</x:f>
      </x:c>
      <x:c r="AS8" s="102" t="str">
        <x:f>IF(AQ8="","",-AQ8*AR8)</x:f>
      </x:c>
      <x:c r="AT8" s="102" t="str">
        <x:f>IF(OR(AQ8="",R8=0),"",IFERROR(U8/R8*AQ8,0))</x:f>
      </x:c>
      <x:c r="AU8" s="102" t="str">
        <x:f>IF(AQ8="","",AQ8-AT8)</x:f>
      </x:c>
      <x:c r="AV8" s="102" t="str">
        <x:f>IF(AU8="","",AU8*$P$4)</x:f>
      </x:c>
      <x:c r="AW8" s="102" t="str">
        <x:f>IF(AQ8="","",AQ8-AP8+AS8-AV8)</x:f>
      </x:c>
      <x:c r="AX8" s="102" t="str">
        <x:f>IF(OR(AW8="",Q8=0),"",AW8/Q8)</x:f>
      </x:c>
      <x:c r="AY8" s="102" t="str">
        <x:f>IF(AX8="","",AX8-C8)</x:f>
      </x:c>
    </x:row>
    <x:row r="9">
      <x:c r="A9" s="22" t="s">
        <x:v>29</x:v>
      </x:c>
      <x:c r="B9" s="2" t="s">
        <x:v>30</x:v>
      </x:c>
      <x:c r="C9" s="4" t="n">
        <x:f t="shared" si="2">D9+E9</x:f>
        <x:v>34.80363666666666</x:v>
      </x:c>
      <x:c r="D9" s="4">
        <x:v>10.603636666666665</x:v>
      </x:c>
      <x:c r="E9" s="3">
        <x:v>24.2</x:v>
      </x:c>
      <x:c r="F9" s="4" t="n">
        <x:f t="shared" si="3">D9*Q9</x:f>
        <x:v>0</x:v>
      </x:c>
      <x:c r="G9" s="3" t="n">
        <x:f t="shared" si="4">E9*Q9</x:f>
        <x:v>0</x:v>
      </x:c>
      <x:c r="H9" s="4" t="n">
        <x:f t="shared" si="5">Q9*C9</x:f>
        <x:v>0</x:v>
      </x:c>
      <x:c r="I9" s="4" t="n">
        <x:f t="shared" ref="I9:I21" si="7">IFERROR(J9/C9,0)</x:f>
        <x:v>0</x:v>
      </x:c>
      <x:c r="J9" s="4" t="n">
        <x:f t="shared" ref="J9:J21" si="8">IFERROR(L9/Q9,0)</x:f>
        <x:v>0</x:v>
      </x:c>
      <x:c r="K9" s="4" t="n">
        <x:f t="shared" ref="K9:K21" si="9">IFERROR(M9/Q9,0)</x:f>
        <x:v>0</x:v>
      </x:c>
      <x:c r="L9" s="4" t="n">
        <x:f t="shared" si="6">M9-H9-O9</x:f>
        <x:v>0</x:v>
      </x:c>
      <x:c r="M9" s="4" t="n">
        <x:f t="shared" ref="M9:M28" si="10">AG9</x:f>
        <x:v>0</x:v>
      </x:c>
      <x:c r="N9" s="4" t="str">
        <x:f t="shared" ref="N9:N21" si="11">IFERROR(R9/Q9,"")</x:f>
      </x:c>
      <x:c r="O9" s="6" t="n">
        <x:f t="shared" ref="O9:O28" si="12">P9*$P$4</x:f>
        <x:v>0</x:v>
      </x:c>
      <x:c r="P9" s="6" t="n">
        <x:f t="shared" ref="P9:P21" si="13">S9+T9</x:f>
        <x:v>0</x:v>
      </x:c>
      <x:c r="Q9" s="70" t="n">
        <x:f t="shared" ref="Q9:Q22" si="14">S9-AH9</x:f>
        <x:v>0</x:v>
      </x:c>
      <x:c r="R9" s="67" t="n">
        <x:f>SUM(S9:U9)</x:f>
        <x:v>0</x:v>
      </x:c>
      <x:c r="S9" s="67"/>
      <x:c r="T9" s="67"/>
      <x:c r="U9" s="67"/>
      <x:c r="V9" s="67"/>
      <x:c r="W9" s="67"/>
      <x:c r="X9" s="67"/>
      <x:c r="Y9" s="67"/>
      <x:c r="Z9" s="67"/>
      <x:c r="AA9" s="67"/>
      <x:c r="AB9" s="67"/>
      <x:c r="AC9" s="67"/>
      <x:c r="AD9" s="67"/>
      <x:c r="AE9" s="67"/>
      <x:c r="AF9" s="67"/>
      <x:c r="AG9" s="67" t="n">
        <x:f>SUM(S9:AF9)</x:f>
        <x:v>0</x:v>
      </x:c>
      <x:c r="AH9" s="2" t="n">
        <x:f t="shared" ref="AH9:AH22" si="15">SUM(AI9:AK9)</x:f>
        <x:v>0</x:v>
      </x:c>
      <x:c r="AI9" s="11"/>
      <x:c r="AJ9" s="11"/>
      <x:c r="AK9" s="24"/>
      <x:c r="AL9" s="102" t="str">
        <x:f t="shared" ref="AL9:AL28" si="16">IFERROR(R9/Q9,"")</x:f>
      </x:c>
      <x:c r="AM9" s="105" t="str">
        <x:f>IF(OR(AL9="",AN9=""),"",IFERROR(AN9/AL9-1,0))</x:f>
      </x:c>
      <x:c r="AN9" s="103" t="str">
        <x:f t="shared" ref="AN9:AN28" si="17">IF(AL9="","",AL9)</x:f>
      </x:c>
      <x:c r="AO9" s="105" t="str">
        <x:f>IF(OR(Q9=0,AN9=""),"",IFERROR(AY9/C9,0))</x:f>
      </x:c>
      <x:c r="AP9" s="102" t="str">
        <x:f>IF(Q9=0,"",R9-M9+V9)</x:f>
      </x:c>
      <x:c r="AQ9" s="102" t="str">
        <x:f t="shared" ref="AQ9:AQ28" si="18">IF(OR(AN9="",Q9=0),"",AN9*Q9)</x:f>
      </x:c>
      <x:c r="AR9" s="105" t="str">
        <x:f t="shared" ref="AR9:AR28" si="19">IF(OR(R9=0,Q9=0),"",IFERROR(-V9/R9,0))</x:f>
      </x:c>
      <x:c r="AS9" s="102" t="str">
        <x:f>IF(AQ9="","",-AQ9*AR9)</x:f>
      </x:c>
      <x:c r="AT9" s="102" t="str">
        <x:f t="shared" ref="AT9:AT28" si="20">IF(OR(AQ9="",R9=0),"",IFERROR(U9/R9*AQ9,0))</x:f>
      </x:c>
      <x:c r="AU9" s="102" t="str">
        <x:f>IF(AQ9="","",AQ9-AT9)</x:f>
      </x:c>
      <x:c r="AV9" s="102" t="str">
        <x:f>IF(AU9="","",AU9*$P$4)</x:f>
      </x:c>
      <x:c r="AW9" s="102" t="str">
        <x:f t="shared" ref="AW9:AW28" si="21">IF(AQ9="","",AQ9-AP9+AS9-AV9)</x:f>
      </x:c>
      <x:c r="AX9" s="102" t="str">
        <x:f t="shared" ref="AX9:AX28" si="22">IF(OR(AW9="",Q9=0),"",AW9/Q9)</x:f>
      </x:c>
      <x:c r="AY9" s="102" t="str">
        <x:f t="shared" ref="AY9:AY28" si="23">IF(AX9="","",AX9-C9)</x:f>
      </x:c>
    </x:row>
    <x:row r="10">
      <x:c r="A10" s="22" t="s">
        <x:v>31</x:v>
      </x:c>
      <x:c r="B10" s="2" t="s">
        <x:v>32</x:v>
      </x:c>
      <x:c r="C10" s="4" t="n">
        <x:f>D10+E10</x:f>
        <x:v>40.02267499999999</x:v>
      </x:c>
      <x:c r="D10" s="4">
        <x:v>15.822674999999997</x:v>
      </x:c>
      <x:c r="E10" s="3">
        <x:v>24.2</x:v>
      </x:c>
      <x:c r="F10" s="4" t="n">
        <x:f t="shared" si="3">D10*Q10</x:f>
        <x:v>0</x:v>
      </x:c>
      <x:c r="G10" s="3" t="n">
        <x:f t="shared" si="4">E10*Q10</x:f>
        <x:v>0</x:v>
      </x:c>
      <x:c r="H10" s="4" t="n">
        <x:f t="shared" si="5">Q10*C10</x:f>
        <x:v>0</x:v>
      </x:c>
      <x:c r="I10" s="4" t="n">
        <x:f t="shared" si="7">IFERROR(J10/C10,0)</x:f>
        <x:v>0</x:v>
      </x:c>
      <x:c r="J10" s="4" t="n">
        <x:f t="shared" si="8">IFERROR(L10/Q10,0)</x:f>
        <x:v>0</x:v>
      </x:c>
      <x:c r="K10" s="4" t="n">
        <x:f t="shared" si="9">IFERROR(M10/Q10,0)</x:f>
        <x:v>0</x:v>
      </x:c>
      <x:c r="L10" s="4" t="n">
        <x:f t="shared" si="6">M10-H10-O10</x:f>
        <x:v>0</x:v>
      </x:c>
      <x:c r="M10" s="4" t="n">
        <x:f t="shared" si="10">AG10</x:f>
        <x:v>0</x:v>
      </x:c>
      <x:c r="N10" s="4" t="str">
        <x:f t="shared" si="11">IFERROR(R10/Q10,"")</x:f>
      </x:c>
      <x:c r="O10" s="6" t="n">
        <x:f t="shared" si="12">P10*$P$4</x:f>
        <x:v>0</x:v>
      </x:c>
      <x:c r="P10" s="6" t="n">
        <x:f t="shared" si="13">S10+T10</x:f>
        <x:v>0</x:v>
      </x:c>
      <x:c r="Q10" s="70">
        <x:f t="shared" si="14"/>
      </x:c>
      <x:c r="R10" s="67" t="n">
        <x:f>SUM(S10:U10)</x:f>
        <x:v>0</x:v>
      </x:c>
      <x:c r="S10" s="67"/>
      <x:c r="T10" s="67"/>
      <x:c r="U10" s="67"/>
      <x:c r="V10" s="67"/>
      <x:c r="W10" s="67"/>
      <x:c r="X10" s="67"/>
      <x:c r="Y10" s="67"/>
      <x:c r="Z10" s="67"/>
      <x:c r="AA10" s="67"/>
      <x:c r="AB10" s="67"/>
      <x:c r="AC10" s="67"/>
      <x:c r="AD10" s="67"/>
      <x:c r="AE10" s="67"/>
      <x:c r="AF10" s="67"/>
      <x:c r="AG10" s="67" t="n">
        <x:f>SUM(S10:AF10)</x:f>
        <x:v>0</x:v>
      </x:c>
      <x:c r="AH10" s="2">
        <x:f t="shared" si="15"/>
      </x:c>
      <x:c r="AI10" s="13"/>
      <x:c r="AJ10" s="13"/>
      <x:c r="AK10" s="25"/>
      <x:c r="AL10" s="102" t="str">
        <x:f t="shared" si="16">IFERROR(R10/Q10,"")</x:f>
      </x:c>
      <x:c r="AM10" s="105" t="str">
        <x:f>IF(OR(AL10="",AN10=""),"",IFERROR(AN10/AL10-1,0))</x:f>
      </x:c>
      <x:c r="AN10" s="103" t="str">
        <x:f t="shared" si="17">IF(AL10="","",AL10)</x:f>
      </x:c>
      <x:c r="AO10" s="105" t="str">
        <x:f t="shared" ref="AO10:AO28" si="24">IF(OR(Q10=0,AN10=""),"",IFERROR(AY10/C10,0))</x:f>
      </x:c>
      <x:c r="AP10" s="102" t="str">
        <x:f t="shared" ref="AP10:AP28" si="25">IF(Q10=0,"",R10-M10+V10)</x:f>
      </x:c>
      <x:c r="AQ10" s="102" t="str">
        <x:f t="shared" si="18">IF(OR(AN10="",Q10=0),"",AN10*Q10)</x:f>
      </x:c>
      <x:c r="AR10" s="105" t="str">
        <x:f t="shared" si="19">IF(OR(R10=0,Q10=0),"",IFERROR(-V10/R10,0))</x:f>
      </x:c>
      <x:c r="AS10" s="102" t="str">
        <x:f t="shared" ref="AS10:AS28" si="26">IF(AQ10="","",-AQ10*AR10)</x:f>
      </x:c>
      <x:c r="AT10" s="102" t="str">
        <x:f t="shared" si="20">IF(OR(AQ10="",R10=0),"",IFERROR(U10/R10*AQ10,0))</x:f>
      </x:c>
      <x:c r="AU10" s="102" t="str">
        <x:f t="shared" ref="AU10:AU28" si="27">IF(AQ10="","",AQ10-AT10)</x:f>
      </x:c>
      <x:c r="AV10" s="102" t="str">
        <x:f t="shared" ref="AV10:AV28" si="28">IF(AU10="","",AU10*$P$4)</x:f>
      </x:c>
      <x:c r="AW10" s="102" t="str">
        <x:f t="shared" si="21">IF(AQ10="","",AQ10-AP10+AS10-AV10)</x:f>
      </x:c>
      <x:c r="AX10" s="102" t="str">
        <x:f t="shared" si="22">IF(OR(AW10="",Q10=0),"",AW10/Q10)</x:f>
      </x:c>
      <x:c r="AY10" s="102" t="str">
        <x:f t="shared" si="23">IF(AX10="","",AX10-C10)</x:f>
      </x:c>
    </x:row>
    <x:row r="11">
      <x:c r="A11" s="22" t="s">
        <x:v>33</x:v>
      </x:c>
      <x:c r="B11" s="2" t="s">
        <x:v>34</x:v>
      </x:c>
      <x:c r="C11" s="4" t="n">
        <x:f t="shared" ref="C11:C21" si="29">D11+E11</x:f>
        <x:v>44.13084236111111</x:v>
      </x:c>
      <x:c r="D11" s="4">
        <x:v>19.930842361111111</x:v>
      </x:c>
      <x:c r="E11" s="3">
        <x:v>24.2</x:v>
      </x:c>
      <x:c r="F11" s="4" t="n">
        <x:f t="shared" si="3">D11*Q11</x:f>
        <x:v>0</x:v>
      </x:c>
      <x:c r="G11" s="3" t="n">
        <x:f t="shared" si="4">E11*Q11</x:f>
        <x:v>0</x:v>
      </x:c>
      <x:c r="H11" s="4" t="n">
        <x:f t="shared" si="5">Q11*C11</x:f>
        <x:v>0</x:v>
      </x:c>
      <x:c r="I11" s="4" t="n">
        <x:f t="shared" si="7">IFERROR(J11/C11,0)</x:f>
        <x:v>0</x:v>
      </x:c>
      <x:c r="J11" s="4" t="n">
        <x:f t="shared" si="8">IFERROR(L11/Q11,0)</x:f>
        <x:v>0</x:v>
      </x:c>
      <x:c r="K11" s="4" t="n">
        <x:f t="shared" si="9">IFERROR(M11/Q11,0)</x:f>
        <x:v>0</x:v>
      </x:c>
      <x:c r="L11" s="4" t="n">
        <x:f t="shared" si="6">M11-H11-O11</x:f>
        <x:v>0</x:v>
      </x:c>
      <x:c r="M11" s="4" t="n">
        <x:f t="shared" si="10">AG11</x:f>
        <x:v>0</x:v>
      </x:c>
      <x:c r="N11" s="4" t="str">
        <x:f t="shared" si="11">IFERROR(R11/Q11,"")</x:f>
      </x:c>
      <x:c r="O11" s="6" t="n">
        <x:f t="shared" si="12">P11*$P$4</x:f>
        <x:v>0</x:v>
      </x:c>
      <x:c r="P11" s="6" t="n">
        <x:f t="shared" si="13">S11+T11</x:f>
        <x:v>0</x:v>
      </x:c>
      <x:c r="Q11" s="70">
        <x:f t="shared" si="14"/>
      </x:c>
      <x:c r="R11" s="67" t="n">
        <x:f>SUM(S11:U11)</x:f>
        <x:v>0</x:v>
      </x:c>
      <x:c r="S11" s="67"/>
      <x:c r="T11" s="67"/>
      <x:c r="U11" s="67"/>
      <x:c r="V11" s="67"/>
      <x:c r="W11" s="67"/>
      <x:c r="X11" s="67"/>
      <x:c r="Y11" s="67"/>
      <x:c r="Z11" s="67"/>
      <x:c r="AA11" s="67"/>
      <x:c r="AB11" s="67"/>
      <x:c r="AC11" s="67"/>
      <x:c r="AD11" s="67"/>
      <x:c r="AE11" s="67"/>
      <x:c r="AF11" s="67"/>
      <x:c r="AG11" s="67" t="n">
        <x:f>SUM(S11:AF11)</x:f>
        <x:v>0</x:v>
      </x:c>
      <x:c r="AH11" s="2">
        <x:f t="shared" si="15"/>
      </x:c>
      <x:c r="AI11" s="13"/>
      <x:c r="AJ11" s="13"/>
      <x:c r="AK11" s="25"/>
      <x:c r="AL11" s="102" t="str">
        <x:f t="shared" si="16">IFERROR(R11/Q11,"")</x:f>
      </x:c>
      <x:c r="AM11" s="105" t="str">
        <x:f>IF(OR(AL11="",AN11=""),"",IFERROR(AN11/AL11-1,0))</x:f>
      </x:c>
      <x:c r="AN11" s="103" t="str">
        <x:f t="shared" si="17">IF(AL11="","",AL11)</x:f>
      </x:c>
      <x:c r="AO11" s="105" t="str">
        <x:f t="shared" si="24">IF(OR(Q11=0,AN11=""),"",IFERROR(AY11/C11,0))</x:f>
      </x:c>
      <x:c r="AP11" s="102" t="str">
        <x:f t="shared" si="25">IF(Q11=0,"",R11-M11+V11)</x:f>
      </x:c>
      <x:c r="AQ11" s="102" t="str">
        <x:f t="shared" si="18">IF(OR(AN11="",Q11=0),"",AN11*Q11)</x:f>
      </x:c>
      <x:c r="AR11" s="105" t="str">
        <x:f t="shared" si="19">IF(OR(R11=0,Q11=0),"",IFERROR(-V11/R11,0))</x:f>
      </x:c>
      <x:c r="AS11" s="102" t="str">
        <x:f t="shared" si="26">IF(AQ11="","",-AQ11*AR11)</x:f>
      </x:c>
      <x:c r="AT11" s="102" t="str">
        <x:f t="shared" si="20">IF(OR(AQ11="",R11=0),"",IFERROR(U11/R11*AQ11,0))</x:f>
      </x:c>
      <x:c r="AU11" s="102" t="str">
        <x:f t="shared" si="27">IF(AQ11="","",AQ11-AT11)</x:f>
      </x:c>
      <x:c r="AV11" s="102" t="str">
        <x:f t="shared" si="28">IF(AU11="","",AU11*$P$4)</x:f>
      </x:c>
      <x:c r="AW11" s="102" t="str">
        <x:f t="shared" si="21">IF(AQ11="","",AQ11-AP11+AS11-AV11)</x:f>
      </x:c>
      <x:c r="AX11" s="102" t="str">
        <x:f t="shared" si="22">IF(OR(AW11="",Q11=0),"",AW11/Q11)</x:f>
      </x:c>
      <x:c r="AY11" s="102" t="str">
        <x:f t="shared" si="23">IF(AX11="","",AX11-C11)</x:f>
      </x:c>
    </x:row>
    <x:row r="12">
      <x:c r="A12" s="22" t="s">
        <x:v>35</x:v>
      </x:c>
      <x:c r="B12" s="2" t="s">
        <x:v>36</x:v>
      </x:c>
      <x:c r="C12" s="4" t="n">
        <x:f t="shared" si="29">D12+E12</x:f>
        <x:v>54.719875</x:v>
      </x:c>
      <x:c r="D12" s="4">
        <x:v>23.719874999999998</x:v>
      </x:c>
      <x:c r="E12" s="3">
        <x:v>31</x:v>
      </x:c>
      <x:c r="F12" s="4" t="n">
        <x:f t="shared" si="3">D12*Q12</x:f>
        <x:v>0</x:v>
      </x:c>
      <x:c r="G12" s="3" t="n">
        <x:f t="shared" si="4">E12*Q12</x:f>
        <x:v>0</x:v>
      </x:c>
      <x:c r="H12" s="4" t="n">
        <x:f t="shared" si="5">Q12*C12</x:f>
        <x:v>0</x:v>
      </x:c>
      <x:c r="I12" s="4" t="n">
        <x:f t="shared" si="7">IFERROR(J12/C12,0)</x:f>
        <x:v>0</x:v>
      </x:c>
      <x:c r="J12" s="4" t="n">
        <x:f t="shared" si="8">IFERROR(L12/Q12,0)</x:f>
        <x:v>0</x:v>
      </x:c>
      <x:c r="K12" s="4" t="n">
        <x:f t="shared" si="9">IFERROR(M12/Q12,0)</x:f>
        <x:v>0</x:v>
      </x:c>
      <x:c r="L12" s="4" t="n">
        <x:f t="shared" si="6">M12-H12-O12</x:f>
        <x:v>0</x:v>
      </x:c>
      <x:c r="M12" s="4" t="n">
        <x:f t="shared" si="10">AG12</x:f>
        <x:v>0</x:v>
      </x:c>
      <x:c r="N12" s="4" t="str">
        <x:f t="shared" si="11">IFERROR(R12/Q12,"")</x:f>
      </x:c>
      <x:c r="O12" s="6" t="n">
        <x:f t="shared" si="12">P12*$P$4</x:f>
        <x:v>0</x:v>
      </x:c>
      <x:c r="P12" s="6" t="n">
        <x:f t="shared" si="13">S12+T12</x:f>
        <x:v>0</x:v>
      </x:c>
      <x:c r="Q12" s="70">
        <x:f t="shared" si="14"/>
      </x:c>
      <x:c r="R12" s="67" t="n">
        <x:f>SUM(S12:U12)</x:f>
        <x:v>0</x:v>
      </x:c>
      <x:c r="S12" s="67"/>
      <x:c r="T12" s="67"/>
      <x:c r="U12" s="67"/>
      <x:c r="V12" s="67"/>
      <x:c r="W12" s="67"/>
      <x:c r="X12" s="67"/>
      <x:c r="Y12" s="67"/>
      <x:c r="Z12" s="67"/>
      <x:c r="AA12" s="67"/>
      <x:c r="AB12" s="67"/>
      <x:c r="AC12" s="67"/>
      <x:c r="AD12" s="67"/>
      <x:c r="AE12" s="67"/>
      <x:c r="AF12" s="67"/>
      <x:c r="AG12" s="67" t="n">
        <x:f>SUM(S12:AF12)</x:f>
        <x:v>0</x:v>
      </x:c>
      <x:c r="AH12" s="2">
        <x:f t="shared" si="15"/>
      </x:c>
      <x:c r="AI12" s="11"/>
      <x:c r="AJ12" s="11"/>
      <x:c r="AK12" s="24"/>
      <x:c r="AL12" s="102" t="str">
        <x:f t="shared" si="16">IFERROR(R12/Q12,"")</x:f>
      </x:c>
      <x:c r="AM12" s="105" t="str">
        <x:f>IF(OR(AL12="",AN12=""),"",IFERROR(AN12/AL12-1,0))</x:f>
      </x:c>
      <x:c r="AN12" s="103" t="str">
        <x:f t="shared" si="17">IF(AL12="","",AL12)</x:f>
      </x:c>
      <x:c r="AO12" s="105" t="str">
        <x:f t="shared" si="24">IF(OR(Q12=0,AN12=""),"",IFERROR(AY12/C12,0))</x:f>
      </x:c>
      <x:c r="AP12" s="102" t="str">
        <x:f t="shared" si="25">IF(Q12=0,"",R12-M12+V12)</x:f>
      </x:c>
      <x:c r="AQ12" s="102" t="str">
        <x:f t="shared" si="18">IF(OR(AN12="",Q12=0),"",AN12*Q12)</x:f>
      </x:c>
      <x:c r="AR12" s="105" t="str">
        <x:f t="shared" si="19">IF(OR(R12=0,Q12=0),"",IFERROR(-V12/R12,0))</x:f>
      </x:c>
      <x:c r="AS12" s="102" t="str">
        <x:f t="shared" si="26">IF(AQ12="","",-AQ12*AR12)</x:f>
      </x:c>
      <x:c r="AT12" s="102" t="str">
        <x:f t="shared" si="20">IF(OR(AQ12="",R12=0),"",IFERROR(U12/R12*AQ12,0))</x:f>
      </x:c>
      <x:c r="AU12" s="102" t="str">
        <x:f t="shared" si="27">IF(AQ12="","",AQ12-AT12)</x:f>
      </x:c>
      <x:c r="AV12" s="102" t="str">
        <x:f t="shared" si="28">IF(AU12="","",AU12*$P$4)</x:f>
      </x:c>
      <x:c r="AW12" s="102" t="str">
        <x:f t="shared" si="21">IF(AQ12="","",AQ12-AP12+AS12-AV12)</x:f>
      </x:c>
      <x:c r="AX12" s="102" t="str">
        <x:f t="shared" si="22">IF(OR(AW12="",Q12=0),"",AW12/Q12)</x:f>
      </x:c>
      <x:c r="AY12" s="102" t="str">
        <x:f t="shared" si="23">IF(AX12="","",AX12-C12)</x:f>
      </x:c>
    </x:row>
    <x:row r="13">
      <x:c r="A13" s="22" t="s">
        <x:v>37</x:v>
      </x:c>
      <x:c r="B13" s="2" t="s">
        <x:v>38</x:v>
      </x:c>
      <x:c r="C13" s="4" t="n">
        <x:f t="shared" ref="C13:C18" si="30">D13+E13</x:f>
        <x:v>60.49717361111111</x:v>
      </x:c>
      <x:c r="D13" s="4">
        <x:v>29.497173611111112</x:v>
      </x:c>
      <x:c r="E13" s="3">
        <x:v>31</x:v>
      </x:c>
      <x:c r="F13" s="4" t="n">
        <x:f t="shared" ref="F13:F18" si="31">D13*Q13</x:f>
        <x:v>0</x:v>
      </x:c>
      <x:c r="G13" s="3" t="n">
        <x:f t="shared" ref="G13:G18" si="32">E13*Q13</x:f>
        <x:v>0</x:v>
      </x:c>
      <x:c r="H13" s="4" t="n">
        <x:f t="shared" ref="H13:H18" si="33">Q13*C13</x:f>
        <x:v>0</x:v>
      </x:c>
      <x:c r="I13" s="4" t="n">
        <x:f t="shared" ref="I13:I18" si="34">IFERROR(J13/C13,0)</x:f>
        <x:v>0</x:v>
      </x:c>
      <x:c r="J13" s="4" t="n">
        <x:f t="shared" ref="J13:J18" si="35">IFERROR(L13/Q13,0)</x:f>
        <x:v>0</x:v>
      </x:c>
      <x:c r="K13" s="4" t="n">
        <x:f t="shared" ref="K13:K18" si="36">IFERROR(M13/Q13,0)</x:f>
        <x:v>0</x:v>
      </x:c>
      <x:c r="L13" s="4" t="n">
        <x:f t="shared" ref="L13:L18" si="37">M13-H13-O13</x:f>
        <x:v>0</x:v>
      </x:c>
      <x:c r="M13" s="4" t="n">
        <x:f t="shared" si="10">AG13</x:f>
        <x:v>0</x:v>
      </x:c>
      <x:c r="N13" s="4" t="str">
        <x:f t="shared" ref="N13:N18" si="38">IFERROR(R13/Q13,"")</x:f>
      </x:c>
      <x:c r="O13" s="6" t="n">
        <x:f t="shared" si="12">P13*$P$4</x:f>
        <x:v>0</x:v>
      </x:c>
      <x:c r="P13" s="6" t="n">
        <x:f t="shared" ref="P13:P18" si="39">S13+T13</x:f>
        <x:v>0</x:v>
      </x:c>
      <x:c r="Q13" s="70">
        <x:f t="shared" si="14"/>
      </x:c>
      <x:c r="R13" s="67" t="n">
        <x:f>SUM(S13:U13)</x:f>
        <x:v>0</x:v>
      </x:c>
      <x:c r="S13" s="67"/>
      <x:c r="T13" s="67"/>
      <x:c r="U13" s="67"/>
      <x:c r="V13" s="67"/>
      <x:c r="W13" s="67"/>
      <x:c r="X13" s="67"/>
      <x:c r="Y13" s="67"/>
      <x:c r="Z13" s="67"/>
      <x:c r="AA13" s="67"/>
      <x:c r="AB13" s="67"/>
      <x:c r="AC13" s="67"/>
      <x:c r="AD13" s="67"/>
      <x:c r="AE13" s="67"/>
      <x:c r="AF13" s="67"/>
      <x:c r="AG13" s="67" t="n">
        <x:f>SUM(S13:AF13)</x:f>
        <x:v>0</x:v>
      </x:c>
      <x:c r="AH13" s="2">
        <x:f t="shared" si="15"/>
      </x:c>
      <x:c r="AI13" s="11"/>
      <x:c r="AJ13" s="11"/>
      <x:c r="AK13" s="24"/>
      <x:c r="AL13" s="102" t="str">
        <x:f t="shared" si="16">IFERROR(R13/Q13,"")</x:f>
      </x:c>
      <x:c r="AM13" s="105" t="str">
        <x:f>IF(OR(AL13="",AN13=""),"",IFERROR(AN13/AL13-1,0))</x:f>
      </x:c>
      <x:c r="AN13" s="103" t="str">
        <x:f t="shared" si="17">IF(AL13="","",AL13)</x:f>
      </x:c>
      <x:c r="AO13" s="105" t="str">
        <x:f t="shared" si="24">IF(OR(Q13=0,AN13=""),"",IFERROR(AY13/C13,0))</x:f>
      </x:c>
      <x:c r="AP13" s="102" t="str">
        <x:f t="shared" si="25">IF(Q13=0,"",R13-M13+V13)</x:f>
      </x:c>
      <x:c r="AQ13" s="102" t="str">
        <x:f t="shared" si="18">IF(OR(AN13="",Q13=0),"",AN13*Q13)</x:f>
      </x:c>
      <x:c r="AR13" s="105" t="str">
        <x:f t="shared" si="19">IF(OR(R13=0,Q13=0),"",IFERROR(-V13/R13,0))</x:f>
      </x:c>
      <x:c r="AS13" s="102" t="str">
        <x:f t="shared" si="26">IF(AQ13="","",-AQ13*AR13)</x:f>
      </x:c>
      <x:c r="AT13" s="102" t="str">
        <x:f t="shared" si="20">IF(OR(AQ13="",R13=0),"",IFERROR(U13/R13*AQ13,0))</x:f>
      </x:c>
      <x:c r="AU13" s="102" t="str">
        <x:f t="shared" si="27">IF(AQ13="","",AQ13-AT13)</x:f>
      </x:c>
      <x:c r="AV13" s="102" t="str">
        <x:f t="shared" si="28">IF(AU13="","",AU13*$P$4)</x:f>
      </x:c>
      <x:c r="AW13" s="102" t="str">
        <x:f t="shared" si="21">IF(AQ13="","",AQ13-AP13+AS13-AV13)</x:f>
      </x:c>
      <x:c r="AX13" s="102" t="str">
        <x:f t="shared" si="22">IF(OR(AW13="",Q13=0),"",AW13/Q13)</x:f>
      </x:c>
      <x:c r="AY13" s="102" t="str">
        <x:f t="shared" si="23">IF(AX13="","",AX13-C13)</x:f>
      </x:c>
    </x:row>
    <x:row r="14">
      <x:c r="A14" s="22" t="s">
        <x:v>39</x:v>
      </x:c>
      <x:c r="B14" s="2" t="s">
        <x:v>40</x:v>
      </x:c>
      <x:c r="C14" s="4" t="n">
        <x:f t="shared" si="30">D14+E14</x:f>
        <x:v>74.62153611111111</x:v>
      </x:c>
      <x:c r="D14" s="4">
        <x:v>36.521536111111111</x:v>
      </x:c>
      <x:c r="E14" s="3">
        <x:v>38.1</x:v>
      </x:c>
      <x:c r="F14" s="4" t="n">
        <x:f t="shared" si="31">D14*Q14</x:f>
        <x:v>0</x:v>
      </x:c>
      <x:c r="G14" s="3" t="n">
        <x:f t="shared" si="32">E14*Q14</x:f>
        <x:v>0</x:v>
      </x:c>
      <x:c r="H14" s="4" t="n">
        <x:f t="shared" si="33">Q14*C14</x:f>
        <x:v>0</x:v>
      </x:c>
      <x:c r="I14" s="4" t="n">
        <x:f t="shared" si="34">IFERROR(J14/C14,0)</x:f>
        <x:v>0</x:v>
      </x:c>
      <x:c r="J14" s="4" t="n">
        <x:f t="shared" si="35">IFERROR(L14/Q14,0)</x:f>
        <x:v>0</x:v>
      </x:c>
      <x:c r="K14" s="4" t="n">
        <x:f t="shared" si="36">IFERROR(M14/Q14,0)</x:f>
        <x:v>0</x:v>
      </x:c>
      <x:c r="L14" s="4" t="n">
        <x:f t="shared" si="37">M14-H14-O14</x:f>
        <x:v>0</x:v>
      </x:c>
      <x:c r="M14" s="4" t="n">
        <x:f t="shared" si="10">AG14</x:f>
        <x:v>0</x:v>
      </x:c>
      <x:c r="N14" s="4" t="str">
        <x:f t="shared" si="38">IFERROR(R14/Q14,"")</x:f>
      </x:c>
      <x:c r="O14" s="6" t="n">
        <x:f t="shared" ref="O14:O15" si="40">P14*$P$4</x:f>
        <x:v>0</x:v>
      </x:c>
      <x:c r="P14" s="6" t="n">
        <x:f t="shared" si="39">S14+T14</x:f>
        <x:v>0</x:v>
      </x:c>
      <x:c r="Q14" s="70" t="n">
        <x:f t="shared" ref="Q14:Q15" si="41">S14-AH14</x:f>
        <x:v>0</x:v>
      </x:c>
      <x:c r="R14" s="67" t="n">
        <x:f>SUM(S14:U14)</x:f>
        <x:v>0</x:v>
      </x:c>
      <x:c r="S14" s="67"/>
      <x:c r="T14" s="67"/>
      <x:c r="U14" s="67"/>
      <x:c r="V14" s="67"/>
      <x:c r="W14" s="67"/>
      <x:c r="X14" s="67"/>
      <x:c r="Y14" s="67"/>
      <x:c r="Z14" s="67"/>
      <x:c r="AA14" s="67"/>
      <x:c r="AB14" s="67"/>
      <x:c r="AC14" s="67"/>
      <x:c r="AD14" s="67"/>
      <x:c r="AE14" s="67"/>
      <x:c r="AF14" s="67"/>
      <x:c r="AG14" s="67" t="n">
        <x:f>SUM(S14:AF14)</x:f>
        <x:v>0</x:v>
      </x:c>
      <x:c r="AH14" s="2" t="n">
        <x:f t="shared" ref="AH14:AH15" si="42">SUM(AI14:AK14)</x:f>
        <x:v>0</x:v>
      </x:c>
      <x:c r="AI14" s="11"/>
      <x:c r="AJ14" s="11"/>
      <x:c r="AK14" s="24"/>
      <x:c r="AL14" s="102" t="str">
        <x:f t="shared" si="16">IFERROR(R14/Q14,"")</x:f>
      </x:c>
      <x:c r="AM14" s="105" t="str">
        <x:f>IF(OR(AL14="",AN14=""),"",IFERROR(AN14/AL14-1,0))</x:f>
      </x:c>
      <x:c r="AN14" s="103" t="str">
        <x:f t="shared" si="17">IF(AL14="","",AL14)</x:f>
      </x:c>
      <x:c r="AO14" s="105" t="str">
        <x:f t="shared" si="24">IF(OR(Q14=0,AN14=""),"",IFERROR(AY14/C14,0))</x:f>
      </x:c>
      <x:c r="AP14" s="102" t="str">
        <x:f t="shared" si="25">IF(Q14=0,"",R14-M14+V14)</x:f>
      </x:c>
      <x:c r="AQ14" s="102" t="str">
        <x:f t="shared" si="18">IF(OR(AN14="",Q14=0),"",AN14*Q14)</x:f>
      </x:c>
      <x:c r="AR14" s="105" t="str">
        <x:f t="shared" si="19">IF(OR(R14=0,Q14=0),"",IFERROR(-V14/R14,0))</x:f>
      </x:c>
      <x:c r="AS14" s="102" t="str">
        <x:f t="shared" si="26">IF(AQ14="","",-AQ14*AR14)</x:f>
      </x:c>
      <x:c r="AT14" s="102" t="str">
        <x:f t="shared" si="20">IF(OR(AQ14="",R14=0),"",IFERROR(U14/R14*AQ14,0))</x:f>
      </x:c>
      <x:c r="AU14" s="102" t="str">
        <x:f t="shared" si="27">IF(AQ14="","",AQ14-AT14)</x:f>
      </x:c>
      <x:c r="AV14" s="102" t="str">
        <x:f t="shared" si="28">IF(AU14="","",AU14*$P$4)</x:f>
      </x:c>
      <x:c r="AW14" s="102" t="str">
        <x:f t="shared" si="21">IF(AQ14="","",AQ14-AP14+AS14-AV14)</x:f>
      </x:c>
      <x:c r="AX14" s="102" t="str">
        <x:f t="shared" si="22">IF(OR(AW14="",Q14=0),"",AW14/Q14)</x:f>
      </x:c>
      <x:c r="AY14" s="102" t="str">
        <x:f t="shared" si="23">IF(AX14="","",AX14-C14)</x:f>
      </x:c>
    </x:row>
    <x:row r="15">
      <x:c r="A15" s="22" t="s">
        <x:v>41</x:v>
      </x:c>
      <x:c r="B15" s="2" t="s">
        <x:v>42</x:v>
      </x:c>
      <x:c r="C15" s="4" t="n">
        <x:f t="shared" ref="C15" si="43">D15+E15</x:f>
        <x:v>78.44415069444445</x:v>
      </x:c>
      <x:c r="D15" s="4">
        <x:v>40.344150694444444</x:v>
      </x:c>
      <x:c r="E15" s="3">
        <x:v>38.1</x:v>
      </x:c>
      <x:c r="F15" s="4" t="n">
        <x:f t="shared" ref="F15" si="44">D15*Q15</x:f>
        <x:v>0</x:v>
      </x:c>
      <x:c r="G15" s="3" t="n">
        <x:f t="shared" ref="G15" si="45">E15*Q15</x:f>
        <x:v>0</x:v>
      </x:c>
      <x:c r="H15" s="4" t="n">
        <x:f t="shared" ref="H15" si="46">Q15*C15</x:f>
        <x:v>0</x:v>
      </x:c>
      <x:c r="I15" s="4" t="n">
        <x:f t="shared" ref="I15" si="47">IFERROR(J15/C15,0)</x:f>
        <x:v>0</x:v>
      </x:c>
      <x:c r="J15" s="4" t="n">
        <x:f t="shared" ref="J15" si="48">IFERROR(L15/Q15,0)</x:f>
        <x:v>0</x:v>
      </x:c>
      <x:c r="K15" s="4" t="n">
        <x:f t="shared" ref="K15" si="49">IFERROR(M15/Q15,0)</x:f>
        <x:v>0</x:v>
      </x:c>
      <x:c r="L15" s="4" t="n">
        <x:f t="shared" ref="L15" si="50">M15-H15-O15</x:f>
        <x:v>0</x:v>
      </x:c>
      <x:c r="M15" s="4" t="n">
        <x:f t="shared" si="10">AG15</x:f>
        <x:v>0</x:v>
      </x:c>
      <x:c r="N15" s="4" t="str">
        <x:f t="shared" ref="N15" si="51">IFERROR(R15/Q15,"")</x:f>
      </x:c>
      <x:c r="O15" s="6" t="n">
        <x:f t="shared" si="40">P15*$P$4</x:f>
        <x:v>0</x:v>
      </x:c>
      <x:c r="P15" s="6" t="n">
        <x:f t="shared" ref="P15" si="52">S15+T15</x:f>
        <x:v>0</x:v>
      </x:c>
      <x:c r="Q15" s="70">
        <x:f t="shared" si="41"/>
      </x:c>
      <x:c r="R15" s="67" t="n">
        <x:f>SUM(S15:U15)</x:f>
        <x:v>0</x:v>
      </x:c>
      <x:c r="S15" s="67"/>
      <x:c r="T15" s="67"/>
      <x:c r="U15" s="67"/>
      <x:c r="V15" s="67"/>
      <x:c r="W15" s="67"/>
      <x:c r="X15" s="67"/>
      <x:c r="Y15" s="67"/>
      <x:c r="Z15" s="67"/>
      <x:c r="AA15" s="67"/>
      <x:c r="AB15" s="67"/>
      <x:c r="AC15" s="67"/>
      <x:c r="AD15" s="67"/>
      <x:c r="AE15" s="67"/>
      <x:c r="AF15" s="67"/>
      <x:c r="AG15" s="67" t="n">
        <x:f>SUM(S15:AF15)</x:f>
        <x:v>0</x:v>
      </x:c>
      <x:c r="AH15" s="2">
        <x:f t="shared" si="42"/>
      </x:c>
      <x:c r="AI15" s="11"/>
      <x:c r="AJ15" s="11"/>
      <x:c r="AK15" s="24"/>
      <x:c r="AL15" s="102" t="str">
        <x:f t="shared" si="16">IFERROR(R15/Q15,"")</x:f>
      </x:c>
      <x:c r="AM15" s="105" t="str">
        <x:f>IF(OR(AL15="",AN15=""),"",IFERROR(AN15/AL15-1,0))</x:f>
      </x:c>
      <x:c r="AN15" s="103" t="str">
        <x:f t="shared" si="17">IF(AL15="","",AL15)</x:f>
      </x:c>
      <x:c r="AO15" s="105" t="str">
        <x:f t="shared" si="24">IF(OR(Q15=0,AN15=""),"",IFERROR(AY15/C15,0))</x:f>
      </x:c>
      <x:c r="AP15" s="102" t="str">
        <x:f t="shared" si="25">IF(Q15=0,"",R15-M15+V15)</x:f>
      </x:c>
      <x:c r="AQ15" s="102" t="str">
        <x:f t="shared" si="18">IF(OR(AN15="",Q15=0),"",AN15*Q15)</x:f>
      </x:c>
      <x:c r="AR15" s="105" t="str">
        <x:f t="shared" si="19">IF(OR(R15=0,Q15=0),"",IFERROR(-V15/R15,0))</x:f>
      </x:c>
      <x:c r="AS15" s="102" t="str">
        <x:f t="shared" si="26">IF(AQ15="","",-AQ15*AR15)</x:f>
      </x:c>
      <x:c r="AT15" s="102" t="str">
        <x:f t="shared" si="20">IF(OR(AQ15="",R15=0),"",IFERROR(U15/R15*AQ15,0))</x:f>
      </x:c>
      <x:c r="AU15" s="102" t="str">
        <x:f t="shared" si="27">IF(AQ15="","",AQ15-AT15)</x:f>
      </x:c>
      <x:c r="AV15" s="102" t="str">
        <x:f t="shared" si="28">IF(AU15="","",AU15*$P$4)</x:f>
      </x:c>
      <x:c r="AW15" s="102" t="str">
        <x:f t="shared" si="21">IF(AQ15="","",AQ15-AP15+AS15-AV15)</x:f>
      </x:c>
      <x:c r="AX15" s="102" t="str">
        <x:f t="shared" si="22">IF(OR(AW15="",Q15=0),"",AW15/Q15)</x:f>
      </x:c>
      <x:c r="AY15" s="102" t="str">
        <x:f t="shared" si="23">IF(AX15="","",AX15-C15)</x:f>
      </x:c>
    </x:row>
    <x:row r="16">
      <x:c r="A16" s="22" t="s">
        <x:v>43</x:v>
      </x:c>
      <x:c r="B16" s="2" t="s">
        <x:v>44</x:v>
      </x:c>
      <x:c r="C16" s="4" t="n">
        <x:f t="shared" ref="C16" si="53">D16+E16</x:f>
        <x:v>63.795022222222215</x:v>
      </x:c>
      <x:c r="D16" s="4">
        <x:v>19.89502222222222</x:v>
      </x:c>
      <x:c r="E16" s="3">
        <x:v>43.9</x:v>
      </x:c>
      <x:c r="F16" s="4" t="n">
        <x:f t="shared" ref="F16" si="54">D16*Q16</x:f>
        <x:v>0</x:v>
      </x:c>
      <x:c r="G16" s="3" t="n">
        <x:f t="shared" ref="G16" si="55">E16*Q16</x:f>
        <x:v>0</x:v>
      </x:c>
      <x:c r="H16" s="4" t="n">
        <x:f t="shared" ref="H16" si="56">Q16*C16</x:f>
        <x:v>0</x:v>
      </x:c>
      <x:c r="I16" s="4" t="n">
        <x:f t="shared" ref="I16" si="57">IFERROR(J16/C16,0)</x:f>
        <x:v>0</x:v>
      </x:c>
      <x:c r="J16" s="4" t="n">
        <x:f t="shared" ref="J16" si="58">IFERROR(L16/Q16,0)</x:f>
        <x:v>0</x:v>
      </x:c>
      <x:c r="K16" s="4" t="n">
        <x:f t="shared" ref="K16" si="59">IFERROR(M16/Q16,0)</x:f>
        <x:v>0</x:v>
      </x:c>
      <x:c r="L16" s="4" t="n">
        <x:f t="shared" ref="L16" si="60">M16-H16-O16</x:f>
        <x:v>0</x:v>
      </x:c>
      <x:c r="M16" s="4" t="n">
        <x:f t="shared" si="10">AG16</x:f>
        <x:v>0</x:v>
      </x:c>
      <x:c r="N16" s="4" t="str">
        <x:f t="shared" ref="N16" si="61">IFERROR(R16/Q16,"")</x:f>
      </x:c>
      <x:c r="O16" s="6" t="n">
        <x:f t="shared" ref="O16" si="62">P16*$P$4</x:f>
        <x:v>0</x:v>
      </x:c>
      <x:c r="P16" s="6" t="n">
        <x:f t="shared" ref="P16" si="63">S16+T16</x:f>
        <x:v>0</x:v>
      </x:c>
      <x:c r="Q16" s="70" t="n">
        <x:f t="shared" ref="Q16" si="64">S16-AH16</x:f>
        <x:v>0</x:v>
      </x:c>
      <x:c r="R16" s="67" t="n">
        <x:f>SUM(S16:U16)</x:f>
        <x:v>0</x:v>
      </x:c>
      <x:c r="S16" s="67"/>
      <x:c r="T16" s="67"/>
      <x:c r="U16" s="67"/>
      <x:c r="V16" s="67"/>
      <x:c r="W16" s="67"/>
      <x:c r="X16" s="67"/>
      <x:c r="Y16" s="67"/>
      <x:c r="Z16" s="67"/>
      <x:c r="AA16" s="67"/>
      <x:c r="AB16" s="67"/>
      <x:c r="AC16" s="67"/>
      <x:c r="AD16" s="67"/>
      <x:c r="AE16" s="67"/>
      <x:c r="AF16" s="67"/>
      <x:c r="AG16" s="67" t="n">
        <x:f>SUM(S16:AF16)</x:f>
        <x:v>0</x:v>
      </x:c>
      <x:c r="AH16" s="2" t="n">
        <x:f t="shared" ref="AH16" si="65">SUM(AI16:AK16)</x:f>
        <x:v>0</x:v>
      </x:c>
      <x:c r="AI16" s="11"/>
      <x:c r="AJ16" s="11"/>
      <x:c r="AK16" s="24"/>
      <x:c r="AL16" s="102" t="str">
        <x:f t="shared" si="16">IFERROR(R16/Q16,"")</x:f>
      </x:c>
      <x:c r="AM16" s="105" t="str">
        <x:f>IF(OR(AL16="",AN16=""),"",IFERROR(AN16/AL16-1,0))</x:f>
      </x:c>
      <x:c r="AN16" s="103" t="str">
        <x:f t="shared" si="17">IF(AL16="","",AL16)</x:f>
      </x:c>
      <x:c r="AO16" s="105" t="str">
        <x:f t="shared" si="24">IF(OR(Q16=0,AN16=""),"",IFERROR(AY16/C16,0))</x:f>
      </x:c>
      <x:c r="AP16" s="102" t="str">
        <x:f t="shared" si="25">IF(Q16=0,"",R16-M16+V16)</x:f>
      </x:c>
      <x:c r="AQ16" s="102" t="str">
        <x:f t="shared" si="18">IF(OR(AN16="",Q16=0),"",AN16*Q16)</x:f>
      </x:c>
      <x:c r="AR16" s="105" t="str">
        <x:f t="shared" si="19">IF(OR(R16=0,Q16=0),"",IFERROR(-V16/R16,0))</x:f>
      </x:c>
      <x:c r="AS16" s="102" t="str">
        <x:f t="shared" si="26">IF(AQ16="","",-AQ16*AR16)</x:f>
      </x:c>
      <x:c r="AT16" s="102" t="str">
        <x:f t="shared" si="20">IF(OR(AQ16="",R16=0),"",IFERROR(U16/R16*AQ16,0))</x:f>
      </x:c>
      <x:c r="AU16" s="102" t="str">
        <x:f t="shared" si="27">IF(AQ16="","",AQ16-AT16)</x:f>
      </x:c>
      <x:c r="AV16" s="102" t="str">
        <x:f t="shared" si="28">IF(AU16="","",AU16*$P$4)</x:f>
      </x:c>
      <x:c r="AW16" s="102" t="str">
        <x:f t="shared" si="21">IF(AQ16="","",AQ16-AP16+AS16-AV16)</x:f>
      </x:c>
      <x:c r="AX16" s="102" t="str">
        <x:f t="shared" si="22">IF(OR(AW16="",Q16=0),"",AW16/Q16)</x:f>
      </x:c>
      <x:c r="AY16" s="102" t="str">
        <x:f t="shared" si="23">IF(AX16="","",AX16-C16)</x:f>
      </x:c>
    </x:row>
    <x:row r="17">
      <x:c r="A17" s="22" t="s">
        <x:v>45</x:v>
      </x:c>
      <x:c r="B17" s="2" t="s">
        <x:v>46</x:v>
      </x:c>
      <x:c r="C17" s="4" t="n">
        <x:f t="shared" ref="C17" si="66">D17+E17</x:f>
        <x:v>67.90318958333333</x:v>
      </x:c>
      <x:c r="D17" s="4">
        <x:v>24.003189583333334</x:v>
      </x:c>
      <x:c r="E17" s="3">
        <x:v>43.9</x:v>
      </x:c>
      <x:c r="F17" s="4" t="n">
        <x:f t="shared" ref="F17" si="67">D17*Q17</x:f>
        <x:v>0</x:v>
      </x:c>
      <x:c r="G17" s="3" t="n">
        <x:f t="shared" ref="G17" si="68">E17*Q17</x:f>
        <x:v>0</x:v>
      </x:c>
      <x:c r="H17" s="4" t="n">
        <x:f t="shared" ref="H17" si="69">Q17*C17</x:f>
        <x:v>0</x:v>
      </x:c>
      <x:c r="I17" s="4" t="n">
        <x:f t="shared" ref="I17" si="70">IFERROR(J17/C17,0)</x:f>
        <x:v>0</x:v>
      </x:c>
      <x:c r="J17" s="4" t="n">
        <x:f t="shared" ref="J17" si="71">IFERROR(L17/Q17,0)</x:f>
        <x:v>0</x:v>
      </x:c>
      <x:c r="K17" s="4" t="n">
        <x:f t="shared" ref="K17" si="72">IFERROR(M17/Q17,0)</x:f>
        <x:v>0</x:v>
      </x:c>
      <x:c r="L17" s="4" t="n">
        <x:f t="shared" ref="L17" si="73">M17-H17-O17</x:f>
        <x:v>0</x:v>
      </x:c>
      <x:c r="M17" s="4" t="n">
        <x:f t="shared" si="10">AG17</x:f>
        <x:v>0</x:v>
      </x:c>
      <x:c r="N17" s="4" t="str">
        <x:f t="shared" ref="N17" si="74">IFERROR(R17/Q17,"")</x:f>
      </x:c>
      <x:c r="O17" s="6" t="n">
        <x:f t="shared" ref="O17" si="75">P17*$P$4</x:f>
        <x:v>0</x:v>
      </x:c>
      <x:c r="P17" s="6" t="n">
        <x:f t="shared" ref="P17" si="76">S17+T17</x:f>
        <x:v>0</x:v>
      </x:c>
      <x:c r="Q17" s="70" t="n">
        <x:f t="shared" ref="Q17" si="77">S17-AH17</x:f>
        <x:v>0</x:v>
      </x:c>
      <x:c r="R17" s="67" t="n">
        <x:f>SUM(S17:U17)</x:f>
        <x:v>0</x:v>
      </x:c>
      <x:c r="S17" s="67"/>
      <x:c r="T17" s="67"/>
      <x:c r="U17" s="67"/>
      <x:c r="V17" s="67"/>
      <x:c r="W17" s="67"/>
      <x:c r="X17" s="67"/>
      <x:c r="Y17" s="67"/>
      <x:c r="Z17" s="67"/>
      <x:c r="AA17" s="67"/>
      <x:c r="AB17" s="67"/>
      <x:c r="AC17" s="67"/>
      <x:c r="AD17" s="67"/>
      <x:c r="AE17" s="67"/>
      <x:c r="AF17" s="67"/>
      <x:c r="AG17" s="67" t="n">
        <x:f>SUM(S17:AF17)</x:f>
        <x:v>0</x:v>
      </x:c>
      <x:c r="AH17" s="2" t="n">
        <x:f t="shared" ref="AH17" si="78">SUM(AI17:AK17)</x:f>
        <x:v>0</x:v>
      </x:c>
      <x:c r="AI17" s="11"/>
      <x:c r="AJ17" s="11"/>
      <x:c r="AK17" s="24"/>
      <x:c r="AL17" s="102" t="str">
        <x:f t="shared" si="16">IFERROR(R17/Q17,"")</x:f>
      </x:c>
      <x:c r="AM17" s="105" t="str">
        <x:f>IF(OR(AL17="",AN17=""),"",IFERROR(AN17/AL17-1,0))</x:f>
      </x:c>
      <x:c r="AN17" s="103" t="str">
        <x:f t="shared" si="17">IF(AL17="","",AL17)</x:f>
      </x:c>
      <x:c r="AO17" s="105" t="str">
        <x:f t="shared" si="24">IF(OR(Q17=0,AN17=""),"",IFERROR(AY17/C17,0))</x:f>
      </x:c>
      <x:c r="AP17" s="102" t="str">
        <x:f t="shared" si="25">IF(Q17=0,"",R17-M17+V17)</x:f>
      </x:c>
      <x:c r="AQ17" s="102" t="str">
        <x:f t="shared" si="18">IF(OR(AN17="",Q17=0),"",AN17*Q17)</x:f>
      </x:c>
      <x:c r="AR17" s="105" t="str">
        <x:f t="shared" si="19">IF(OR(R17=0,Q17=0),"",IFERROR(-V17/R17,0))</x:f>
      </x:c>
      <x:c r="AS17" s="102" t="str">
        <x:f t="shared" si="26">IF(AQ17="","",-AQ17*AR17)</x:f>
      </x:c>
      <x:c r="AT17" s="102" t="str">
        <x:f t="shared" si="20">IF(OR(AQ17="",R17=0),"",IFERROR(U17/R17*AQ17,0))</x:f>
      </x:c>
      <x:c r="AU17" s="102" t="str">
        <x:f t="shared" si="27">IF(AQ17="","",AQ17-AT17)</x:f>
      </x:c>
      <x:c r="AV17" s="102" t="str">
        <x:f t="shared" si="28">IF(AU17="","",AU17*$P$4)</x:f>
      </x:c>
      <x:c r="AW17" s="102" t="str">
        <x:f t="shared" si="21">IF(AQ17="","",AQ17-AP17+AS17-AV17)</x:f>
      </x:c>
      <x:c r="AX17" s="102" t="str">
        <x:f t="shared" si="22">IF(OR(AW17="",Q17=0),"",AW17/Q17)</x:f>
      </x:c>
      <x:c r="AY17" s="102" t="str">
        <x:f t="shared" si="23">IF(AX17="","",AX17-C17)</x:f>
      </x:c>
    </x:row>
    <x:row r="18">
      <x:c r="A18" s="22" t="s">
        <x:v>47</x:v>
      </x:c>
      <x:c r="B18" s="2" t="s">
        <x:v>48</x:v>
      </x:c>
      <x:c r="C18" s="4" t="n">
        <x:f t="shared" si="30">D18+E18</x:f>
        <x:v>78.59222222222222</x:v>
      </x:c>
      <x:c r="D18" s="4">
        <x:v>27.792222222222218</x:v>
      </x:c>
      <x:c r="E18" s="3">
        <x:v>50.8</x:v>
      </x:c>
      <x:c r="F18" s="4" t="n">
        <x:f t="shared" si="31">D18*Q18</x:f>
        <x:v>0</x:v>
      </x:c>
      <x:c r="G18" s="3" t="n">
        <x:f t="shared" si="32">E18*Q18</x:f>
        <x:v>0</x:v>
      </x:c>
      <x:c r="H18" s="4" t="n">
        <x:f t="shared" si="33">Q18*C18</x:f>
        <x:v>0</x:v>
      </x:c>
      <x:c r="I18" s="4" t="n">
        <x:f t="shared" si="34">IFERROR(J18/C18,0)</x:f>
        <x:v>0</x:v>
      </x:c>
      <x:c r="J18" s="4" t="n">
        <x:f t="shared" si="35">IFERROR(L18/Q18,0)</x:f>
        <x:v>0</x:v>
      </x:c>
      <x:c r="K18" s="4" t="n">
        <x:f t="shared" si="36">IFERROR(M18/Q18,0)</x:f>
        <x:v>0</x:v>
      </x:c>
      <x:c r="L18" s="4" t="n">
        <x:f t="shared" si="37">M18-H18-O18</x:f>
        <x:v>0</x:v>
      </x:c>
      <x:c r="M18" s="4" t="n">
        <x:f t="shared" si="10">AG18</x:f>
        <x:v>0</x:v>
      </x:c>
      <x:c r="N18" s="4" t="str">
        <x:f t="shared" si="38">IFERROR(R18/Q18,"")</x:f>
      </x:c>
      <x:c r="O18" s="6" t="n">
        <x:f t="shared" si="12">P18*$P$4</x:f>
        <x:v>0</x:v>
      </x:c>
      <x:c r="P18" s="6" t="n">
        <x:f t="shared" si="39">S18+T18</x:f>
        <x:v>0</x:v>
      </x:c>
      <x:c r="Q18" s="70">
        <x:f t="shared" si="14"/>
      </x:c>
      <x:c r="R18" s="67" t="n">
        <x:f>SUM(S18:U18)</x:f>
        <x:v>0</x:v>
      </x:c>
      <x:c r="S18" s="67"/>
      <x:c r="T18" s="67"/>
      <x:c r="U18" s="67"/>
      <x:c r="V18" s="67"/>
      <x:c r="W18" s="67"/>
      <x:c r="X18" s="67"/>
      <x:c r="Y18" s="67"/>
      <x:c r="Z18" s="67"/>
      <x:c r="AA18" s="67"/>
      <x:c r="AB18" s="67"/>
      <x:c r="AC18" s="67"/>
      <x:c r="AD18" s="67"/>
      <x:c r="AE18" s="67"/>
      <x:c r="AF18" s="67"/>
      <x:c r="AG18" s="67" t="n">
        <x:f>SUM(S18:AF18)</x:f>
        <x:v>0</x:v>
      </x:c>
      <x:c r="AH18" s="2">
        <x:f t="shared" si="15"/>
      </x:c>
      <x:c r="AI18" s="11"/>
      <x:c r="AJ18" s="11"/>
      <x:c r="AK18" s="24"/>
      <x:c r="AL18" s="102" t="str">
        <x:f t="shared" si="16">IFERROR(R18/Q18,"")</x:f>
      </x:c>
      <x:c r="AM18" s="105" t="str">
        <x:f>IF(OR(AL18="",AN18=""),"",IFERROR(AN18/AL18-1,0))</x:f>
      </x:c>
      <x:c r="AN18" s="103" t="str">
        <x:f t="shared" si="17">IF(AL18="","",AL18)</x:f>
      </x:c>
      <x:c r="AO18" s="105" t="str">
        <x:f t="shared" si="24">IF(OR(Q18=0,AN18=""),"",IFERROR(AY18/C18,0))</x:f>
      </x:c>
      <x:c r="AP18" s="102" t="str">
        <x:f t="shared" si="25">IF(Q18=0,"",R18-M18+V18)</x:f>
      </x:c>
      <x:c r="AQ18" s="102" t="str">
        <x:f t="shared" si="18">IF(OR(AN18="",Q18=0),"",AN18*Q18)</x:f>
      </x:c>
      <x:c r="AR18" s="105" t="str">
        <x:f t="shared" si="19">IF(OR(R18=0,Q18=0),"",IFERROR(-V18/R18,0))</x:f>
      </x:c>
      <x:c r="AS18" s="102" t="str">
        <x:f t="shared" si="26">IF(AQ18="","",-AQ18*AR18)</x:f>
      </x:c>
      <x:c r="AT18" s="102" t="str">
        <x:f t="shared" si="20">IF(OR(AQ18="",R18=0),"",IFERROR(U18/R18*AQ18,0))</x:f>
      </x:c>
      <x:c r="AU18" s="102" t="str">
        <x:f t="shared" si="27">IF(AQ18="","",AQ18-AT18)</x:f>
      </x:c>
      <x:c r="AV18" s="102" t="str">
        <x:f t="shared" si="28">IF(AU18="","",AU18*$P$4)</x:f>
      </x:c>
      <x:c r="AW18" s="102" t="str">
        <x:f t="shared" si="21">IF(AQ18="","",AQ18-AP18+AS18-AV18)</x:f>
      </x:c>
      <x:c r="AX18" s="102" t="str">
        <x:f t="shared" si="22">IF(OR(AW18="",Q18=0),"",AW18/Q18)</x:f>
      </x:c>
      <x:c r="AY18" s="102" t="str">
        <x:f t="shared" si="23">IF(AX18="","",AX18-C18)</x:f>
      </x:c>
    </x:row>
    <x:row r="19">
      <x:c r="A19" s="22" t="s">
        <x:v>49</x:v>
      </x:c>
      <x:c r="B19" s="2" t="s">
        <x:v>50</x:v>
      </x:c>
      <x:c r="C19" s="4" t="n">
        <x:f t="shared" si="29">D19+E19</x:f>
        <x:v>84.42255902777777</x:v>
      </x:c>
      <x:c r="D19" s="4">
        <x:v>33.622559027777775</x:v>
      </x:c>
      <x:c r="E19" s="3">
        <x:v>50.8</x:v>
      </x:c>
      <x:c r="F19" s="4" t="n">
        <x:f t="shared" si="3">D19*Q19</x:f>
        <x:v>0</x:v>
      </x:c>
      <x:c r="G19" s="3" t="n">
        <x:f t="shared" si="4">E19*Q19</x:f>
        <x:v>0</x:v>
      </x:c>
      <x:c r="H19" s="4" t="n">
        <x:f t="shared" si="5">Q19*C19</x:f>
        <x:v>0</x:v>
      </x:c>
      <x:c r="I19" s="4" t="n">
        <x:f t="shared" si="7">IFERROR(J19/C19,0)</x:f>
        <x:v>0</x:v>
      </x:c>
      <x:c r="J19" s="4" t="n">
        <x:f t="shared" si="8">IFERROR(L19/Q19,0)</x:f>
        <x:v>0</x:v>
      </x:c>
      <x:c r="K19" s="4" t="n">
        <x:f t="shared" si="9">IFERROR(M19/Q19,0)</x:f>
        <x:v>0</x:v>
      </x:c>
      <x:c r="L19" s="4" t="n">
        <x:f t="shared" si="6">M19-H19-O19</x:f>
        <x:v>0</x:v>
      </x:c>
      <x:c r="M19" s="4" t="n">
        <x:f t="shared" si="10">AG19</x:f>
        <x:v>0</x:v>
      </x:c>
      <x:c r="N19" s="4" t="str">
        <x:f t="shared" si="11">IFERROR(R19/Q19,"")</x:f>
      </x:c>
      <x:c r="O19" s="6" t="n">
        <x:f t="shared" si="12">P19*$P$4</x:f>
        <x:v>0</x:v>
      </x:c>
      <x:c r="P19" s="6" t="n">
        <x:f t="shared" si="13">S19+T19</x:f>
        <x:v>0</x:v>
      </x:c>
      <x:c r="Q19" s="70">
        <x:f t="shared" si="14"/>
      </x:c>
      <x:c r="R19" s="67" t="n">
        <x:f>SUM(S19:U19)</x:f>
        <x:v>0</x:v>
      </x:c>
      <x:c r="S19" s="67"/>
      <x:c r="T19" s="67"/>
      <x:c r="U19" s="67"/>
      <x:c r="V19" s="67"/>
      <x:c r="W19" s="67"/>
      <x:c r="X19" s="67"/>
      <x:c r="Y19" s="67"/>
      <x:c r="Z19" s="67"/>
      <x:c r="AA19" s="67"/>
      <x:c r="AB19" s="67"/>
      <x:c r="AC19" s="67"/>
      <x:c r="AD19" s="67"/>
      <x:c r="AE19" s="67"/>
      <x:c r="AF19" s="67"/>
      <x:c r="AG19" s="67" t="n">
        <x:f>SUM(S19:AF19)</x:f>
        <x:v>0</x:v>
      </x:c>
      <x:c r="AH19" s="2">
        <x:f t="shared" si="15"/>
      </x:c>
      <x:c r="AI19" s="11"/>
      <x:c r="AJ19" s="11"/>
      <x:c r="AK19" s="24"/>
      <x:c r="AL19" s="102" t="str">
        <x:f t="shared" si="16">IFERROR(R19/Q19,"")</x:f>
      </x:c>
      <x:c r="AM19" s="105" t="str">
        <x:f>IF(OR(AL19="",AN19=""),"",IFERROR(AN19/AL19-1,0))</x:f>
      </x:c>
      <x:c r="AN19" s="103" t="str">
        <x:f t="shared" si="17">IF(AL19="","",AL19)</x:f>
      </x:c>
      <x:c r="AO19" s="105" t="str">
        <x:f t="shared" si="24">IF(OR(Q19=0,AN19=""),"",IFERROR(AY19/C19,0))</x:f>
      </x:c>
      <x:c r="AP19" s="102" t="str">
        <x:f t="shared" si="25">IF(Q19=0,"",R19-M19+V19)</x:f>
      </x:c>
      <x:c r="AQ19" s="102" t="str">
        <x:f t="shared" si="18">IF(OR(AN19="",Q19=0),"",AN19*Q19)</x:f>
      </x:c>
      <x:c r="AR19" s="105" t="str">
        <x:f t="shared" si="19">IF(OR(R19=0,Q19=0),"",IFERROR(-V19/R19,0))</x:f>
      </x:c>
      <x:c r="AS19" s="102" t="str">
        <x:f t="shared" si="26">IF(AQ19="","",-AQ19*AR19)</x:f>
      </x:c>
      <x:c r="AT19" s="102" t="str">
        <x:f t="shared" si="20">IF(OR(AQ19="",R19=0),"",IFERROR(U19/R19*AQ19,0))</x:f>
      </x:c>
      <x:c r="AU19" s="102" t="str">
        <x:f t="shared" si="27">IF(AQ19="","",AQ19-AT19)</x:f>
      </x:c>
      <x:c r="AV19" s="102" t="str">
        <x:f t="shared" si="28">IF(AU19="","",AU19*$P$4)</x:f>
      </x:c>
      <x:c r="AW19" s="102" t="str">
        <x:f t="shared" si="21">IF(AQ19="","",AQ19-AP19+AS19-AV19)</x:f>
      </x:c>
      <x:c r="AX19" s="102" t="str">
        <x:f t="shared" si="22">IF(OR(AW19="",Q19=0),"",AW19/Q19)</x:f>
      </x:c>
      <x:c r="AY19" s="102" t="str">
        <x:f t="shared" si="23">IF(AX19="","",AX19-C19)</x:f>
      </x:c>
    </x:row>
    <x:row r="20">
      <x:c r="A20" s="22" t="s">
        <x:v>51</x:v>
      </x:c>
      <x:c r="B20" s="2" t="s">
        <x:v>52</x:v>
      </x:c>
      <x:c r="C20" s="4" t="n">
        <x:f t="shared" si="29">D20+E20</x:f>
        <x:v>98.44692152777777</x:v>
      </x:c>
      <x:c r="D20" s="4">
        <x:v>40.646921527777778</x:v>
      </x:c>
      <x:c r="E20" s="3">
        <x:v>57.8</x:v>
      </x:c>
      <x:c r="F20" s="4" t="n">
        <x:f t="shared" si="3">D20*Q20</x:f>
        <x:v>0</x:v>
      </x:c>
      <x:c r="G20" s="3" t="n">
        <x:f t="shared" si="4">E20*Q20</x:f>
        <x:v>0</x:v>
      </x:c>
      <x:c r="H20" s="4" t="n">
        <x:f t="shared" si="5">Q20*C20</x:f>
        <x:v>0</x:v>
      </x:c>
      <x:c r="I20" s="4" t="n">
        <x:f t="shared" si="7">IFERROR(J20/C20,0)</x:f>
        <x:v>0</x:v>
      </x:c>
      <x:c r="J20" s="4" t="n">
        <x:f t="shared" si="8">IFERROR(L20/Q20,0)</x:f>
        <x:v>0</x:v>
      </x:c>
      <x:c r="K20" s="4" t="n">
        <x:f t="shared" si="9">IFERROR(M20/Q20,0)</x:f>
        <x:v>0</x:v>
      </x:c>
      <x:c r="L20" s="4" t="n">
        <x:f t="shared" si="6">M20-H20-O20</x:f>
        <x:v>0</x:v>
      </x:c>
      <x:c r="M20" s="4" t="n">
        <x:f t="shared" si="10">AG20</x:f>
        <x:v>0</x:v>
      </x:c>
      <x:c r="N20" s="4" t="str">
        <x:f t="shared" si="11">IFERROR(R20/Q20,"")</x:f>
      </x:c>
      <x:c r="O20" s="6" t="n">
        <x:f t="shared" si="12">P20*$P$4</x:f>
        <x:v>0</x:v>
      </x:c>
      <x:c r="P20" s="6" t="n">
        <x:f t="shared" si="13">S20+T20</x:f>
        <x:v>0</x:v>
      </x:c>
      <x:c r="Q20" s="70">
        <x:f t="shared" si="14"/>
      </x:c>
      <x:c r="R20" s="67" t="n">
        <x:f>SUM(S20:U20)</x:f>
        <x:v>0</x:v>
      </x:c>
      <x:c r="S20" s="67"/>
      <x:c r="T20" s="67"/>
      <x:c r="U20" s="67"/>
      <x:c r="V20" s="67"/>
      <x:c r="W20" s="67"/>
      <x:c r="X20" s="67"/>
      <x:c r="Y20" s="67"/>
      <x:c r="Z20" s="67"/>
      <x:c r="AA20" s="67"/>
      <x:c r="AB20" s="67"/>
      <x:c r="AC20" s="67"/>
      <x:c r="AD20" s="67"/>
      <x:c r="AE20" s="67"/>
      <x:c r="AF20" s="67"/>
      <x:c r="AG20" s="67" t="n">
        <x:f>SUM(S20:AF20)</x:f>
        <x:v>0</x:v>
      </x:c>
      <x:c r="AH20" s="2">
        <x:f t="shared" si="15"/>
      </x:c>
      <x:c r="AI20" s="11"/>
      <x:c r="AJ20" s="11"/>
      <x:c r="AK20" s="24"/>
      <x:c r="AL20" s="102" t="str">
        <x:f t="shared" si="16">IFERROR(R20/Q20,"")</x:f>
      </x:c>
      <x:c r="AM20" s="105" t="str">
        <x:f>IF(OR(AL20="",AN20=""),"",IFERROR(AN20/AL20-1,0))</x:f>
      </x:c>
      <x:c r="AN20" s="103" t="str">
        <x:f t="shared" si="17">IF(AL20="","",AL20)</x:f>
      </x:c>
      <x:c r="AO20" s="105" t="str">
        <x:f t="shared" si="24">IF(OR(Q20=0,AN20=""),"",IFERROR(AY20/C20,0))</x:f>
      </x:c>
      <x:c r="AP20" s="102" t="str">
        <x:f t="shared" si="25">IF(Q20=0,"",R20-M20+V20)</x:f>
      </x:c>
      <x:c r="AQ20" s="102" t="str">
        <x:f t="shared" si="18">IF(OR(AN20="",Q20=0),"",AN20*Q20)</x:f>
      </x:c>
      <x:c r="AR20" s="105" t="str">
        <x:f t="shared" si="19">IF(OR(R20=0,Q20=0),"",IFERROR(-V20/R20,0))</x:f>
      </x:c>
      <x:c r="AS20" s="102" t="str">
        <x:f t="shared" si="26">IF(AQ20="","",-AQ20*AR20)</x:f>
      </x:c>
      <x:c r="AT20" s="102" t="str">
        <x:f t="shared" si="20">IF(OR(AQ20="",R20=0),"",IFERROR(U20/R20*AQ20,0))</x:f>
      </x:c>
      <x:c r="AU20" s="102" t="str">
        <x:f t="shared" si="27">IF(AQ20="","",AQ20-AT20)</x:f>
      </x:c>
      <x:c r="AV20" s="102" t="str">
        <x:f t="shared" si="28">IF(AU20="","",AU20*$P$4)</x:f>
      </x:c>
      <x:c r="AW20" s="102" t="str">
        <x:f t="shared" si="21">IF(AQ20="","",AQ20-AP20+AS20-AV20)</x:f>
      </x:c>
      <x:c r="AX20" s="102" t="str">
        <x:f t="shared" si="22">IF(OR(AW20="",Q20=0),"",AW20/Q20)</x:f>
      </x:c>
      <x:c r="AY20" s="102" t="str">
        <x:f t="shared" si="23">IF(AX20="","",AX20-C20)</x:f>
      </x:c>
    </x:row>
    <x:row r="21">
      <x:c r="A21" s="22" t="s">
        <x:v>53</x:v>
      </x:c>
      <x:c r="B21" s="2" t="s">
        <x:v>54</x:v>
      </x:c>
      <x:c r="C21" s="4" t="n">
        <x:f t="shared" si="29">D21+E21</x:f>
        <x:v>102.26953611111111</x:v>
      </x:c>
      <x:c r="D21" s="4">
        <x:v>44.469536111111111</x:v>
      </x:c>
      <x:c r="E21" s="3">
        <x:v>57.8</x:v>
      </x:c>
      <x:c r="F21" s="4" t="n">
        <x:f t="shared" si="3">D21*Q21</x:f>
        <x:v>0</x:v>
      </x:c>
      <x:c r="G21" s="3" t="n">
        <x:f t="shared" si="4">E21*Q21</x:f>
        <x:v>0</x:v>
      </x:c>
      <x:c r="H21" s="4" t="n">
        <x:f t="shared" si="5">Q21*C21</x:f>
        <x:v>0</x:v>
      </x:c>
      <x:c r="I21" s="4" t="n">
        <x:f t="shared" si="7">IFERROR(J21/C21,0)</x:f>
        <x:v>0</x:v>
      </x:c>
      <x:c r="J21" s="4" t="n">
        <x:f t="shared" si="8">IFERROR(L21/Q21,0)</x:f>
        <x:v>0</x:v>
      </x:c>
      <x:c r="K21" s="4" t="n">
        <x:f t="shared" si="9">IFERROR(M21/Q21,0)</x:f>
        <x:v>0</x:v>
      </x:c>
      <x:c r="L21" s="4" t="n">
        <x:f t="shared" si="6">M21-H21-O21</x:f>
        <x:v>0</x:v>
      </x:c>
      <x:c r="M21" s="4" t="n">
        <x:f t="shared" si="10">AG21</x:f>
        <x:v>0</x:v>
      </x:c>
      <x:c r="N21" s="4" t="str">
        <x:f t="shared" si="11">IFERROR(R21/Q21,"")</x:f>
      </x:c>
      <x:c r="O21" s="6" t="n">
        <x:f t="shared" si="12">P21*$P$4</x:f>
        <x:v>0</x:v>
      </x:c>
      <x:c r="P21" s="6" t="n">
        <x:f t="shared" si="13">S21+T21</x:f>
        <x:v>0</x:v>
      </x:c>
      <x:c r="Q21" s="70">
        <x:f t="shared" si="14"/>
      </x:c>
      <x:c r="R21" s="67" t="n">
        <x:f>SUM(S21:U21)</x:f>
        <x:v>0</x:v>
      </x:c>
      <x:c r="S21" s="67"/>
      <x:c r="T21" s="67"/>
      <x:c r="U21" s="67"/>
      <x:c r="V21" s="67"/>
      <x:c r="W21" s="67"/>
      <x:c r="X21" s="67"/>
      <x:c r="Y21" s="67"/>
      <x:c r="Z21" s="67"/>
      <x:c r="AA21" s="67"/>
      <x:c r="AB21" s="67"/>
      <x:c r="AC21" s="67"/>
      <x:c r="AD21" s="67"/>
      <x:c r="AE21" s="67"/>
      <x:c r="AF21" s="67"/>
      <x:c r="AG21" s="67" t="n">
        <x:f>SUM(S21:AF21)</x:f>
        <x:v>0</x:v>
      </x:c>
      <x:c r="AH21" s="2">
        <x:f t="shared" si="15"/>
      </x:c>
      <x:c r="AI21" s="11"/>
      <x:c r="AJ21" s="11"/>
      <x:c r="AK21" s="24"/>
      <x:c r="AL21" s="102" t="str">
        <x:f t="shared" si="16">IFERROR(R21/Q21,"")</x:f>
      </x:c>
      <x:c r="AM21" s="105" t="str">
        <x:f>IF(OR(AL21="",AN21=""),"",IFERROR(AN21/AL21-1,0))</x:f>
      </x:c>
      <x:c r="AN21" s="103" t="str">
        <x:f t="shared" si="17">IF(AL21="","",AL21)</x:f>
      </x:c>
      <x:c r="AO21" s="105" t="str">
        <x:f t="shared" si="24">IF(OR(Q21=0,AN21=""),"",IFERROR(AY21/C21,0))</x:f>
      </x:c>
      <x:c r="AP21" s="102" t="str">
        <x:f t="shared" si="25">IF(Q21=0,"",R21-M21+V21)</x:f>
      </x:c>
      <x:c r="AQ21" s="102" t="str">
        <x:f t="shared" si="18">IF(OR(AN21="",Q21=0),"",AN21*Q21)</x:f>
      </x:c>
      <x:c r="AR21" s="105" t="str">
        <x:f t="shared" si="19">IF(OR(R21=0,Q21=0),"",IFERROR(-V21/R21,0))</x:f>
      </x:c>
      <x:c r="AS21" s="102" t="str">
        <x:f t="shared" si="26">IF(AQ21="","",-AQ21*AR21)</x:f>
      </x:c>
      <x:c r="AT21" s="102" t="str">
        <x:f t="shared" si="20">IF(OR(AQ21="",R21=0),"",IFERROR(U21/R21*AQ21,0))</x:f>
      </x:c>
      <x:c r="AU21" s="102" t="str">
        <x:f t="shared" si="27">IF(AQ21="","",AQ21-AT21)</x:f>
      </x:c>
      <x:c r="AV21" s="102" t="str">
        <x:f t="shared" si="28">IF(AU21="","",AU21*$P$4)</x:f>
      </x:c>
      <x:c r="AW21" s="102" t="str">
        <x:f t="shared" si="21">IF(AQ21="","",AQ21-AP21+AS21-AV21)</x:f>
      </x:c>
      <x:c r="AX21" s="102" t="str">
        <x:f t="shared" si="22">IF(OR(AW21="",Q21=0),"",AW21/Q21)</x:f>
      </x:c>
      <x:c r="AY21" s="102" t="str">
        <x:f t="shared" si="23">IF(AX21="","",AX21-C21)</x:f>
      </x:c>
    </x:row>
    <x:row r="22">
      <x:c r="A22" s="22" t="s">
        <x:v>55</x:v>
      </x:c>
      <x:c r="B22" s="2" t="s">
        <x:v>56</x:v>
      </x:c>
      <x:c r="C22" s="4" t="n">
        <x:f t="shared" ref="C22" si="79">D22+E22</x:f>
        <x:v>100</x:v>
      </x:c>
      <x:c r="D22" s="4">
        <x:v>50</x:v>
      </x:c>
      <x:c r="E22" s="3">
        <x:v>50</x:v>
      </x:c>
      <x:c r="F22" s="4" t="n">
        <x:f t="shared" ref="F22" si="80">D22*Q22</x:f>
        <x:v>0</x:v>
      </x:c>
      <x:c r="G22" s="3" t="n">
        <x:f t="shared" ref="G22" si="81">E22*Q22</x:f>
        <x:v>0</x:v>
      </x:c>
      <x:c r="H22" s="4" t="n">
        <x:f t="shared" ref="H22" si="82">Q22*C22</x:f>
        <x:v>0</x:v>
      </x:c>
      <x:c r="I22" s="4" t="n">
        <x:f t="shared" ref="I22" si="83">IFERROR(J22/C22,0)</x:f>
        <x:v>0</x:v>
      </x:c>
      <x:c r="J22" s="4" t="n">
        <x:f t="shared" ref="J22" si="84">IFERROR(L22/Q22,0)</x:f>
        <x:v>0</x:v>
      </x:c>
      <x:c r="K22" s="4" t="n">
        <x:f t="shared" ref="K22" si="85">IFERROR(M22/Q22,0)</x:f>
        <x:v>0</x:v>
      </x:c>
      <x:c r="L22" s="4" t="n">
        <x:f t="shared" ref="L22" si="86">M22-H22-O22</x:f>
        <x:v>0</x:v>
      </x:c>
      <x:c r="M22" s="4" t="n">
        <x:f t="shared" si="10">AG22</x:f>
        <x:v>0</x:v>
      </x:c>
      <x:c r="N22" s="4" t="str">
        <x:f t="shared" ref="N22" si="87">IFERROR(R22/Q22,"")</x:f>
      </x:c>
      <x:c r="O22" s="6" t="n">
        <x:f t="shared" si="12">P22*$P$4</x:f>
        <x:v>0</x:v>
      </x:c>
      <x:c r="P22" s="6" t="n">
        <x:f t="shared" ref="P22" si="88">S22+T22</x:f>
        <x:v>0</x:v>
      </x:c>
      <x:c r="Q22" s="70">
        <x:f t="shared" si="14"/>
      </x:c>
      <x:c r="R22" s="67" t="n">
        <x:f>SUM(S22:U22)</x:f>
        <x:v>0</x:v>
      </x:c>
      <x:c r="S22" s="67"/>
      <x:c r="T22" s="67"/>
      <x:c r="U22" s="67"/>
      <x:c r="V22" s="67"/>
      <x:c r="W22" s="67"/>
      <x:c r="X22" s="67"/>
      <x:c r="Y22" s="67"/>
      <x:c r="Z22" s="67"/>
      <x:c r="AA22" s="67"/>
      <x:c r="AB22" s="67"/>
      <x:c r="AC22" s="67"/>
      <x:c r="AD22" s="67"/>
      <x:c r="AE22" s="67"/>
      <x:c r="AF22" s="67"/>
      <x:c r="AG22" s="67" t="n">
        <x:f>SUM(S22:AF22)</x:f>
        <x:v>0</x:v>
      </x:c>
      <x:c r="AH22" s="2">
        <x:f t="shared" si="15"/>
      </x:c>
      <x:c r="AI22" s="11"/>
      <x:c r="AJ22" s="11"/>
      <x:c r="AK22" s="24"/>
      <x:c r="AL22" s="102" t="str">
        <x:f t="shared" si="16">IFERROR(R22/Q22,"")</x:f>
      </x:c>
      <x:c r="AM22" s="105" t="str">
        <x:f>IF(OR(AL22="",AN22=""),"",IFERROR(AN22/AL22-1,0))</x:f>
      </x:c>
      <x:c r="AN22" s="103" t="str">
        <x:f t="shared" si="17">IF(AL22="","",AL22)</x:f>
      </x:c>
      <x:c r="AO22" s="105" t="str">
        <x:f t="shared" si="24">IF(OR(Q22=0,AN22=""),"",IFERROR(AY22/C22,0))</x:f>
      </x:c>
      <x:c r="AP22" s="102" t="str">
        <x:f t="shared" si="25">IF(Q22=0,"",R22-M22+V22)</x:f>
      </x:c>
      <x:c r="AQ22" s="102" t="str">
        <x:f t="shared" si="18">IF(OR(AN22="",Q22=0),"",AN22*Q22)</x:f>
      </x:c>
      <x:c r="AR22" s="105" t="str">
        <x:f t="shared" si="19">IF(OR(R22=0,Q22=0),"",IFERROR(-V22/R22,0))</x:f>
      </x:c>
      <x:c r="AS22" s="102" t="str">
        <x:f t="shared" si="26">IF(AQ22="","",-AQ22*AR22)</x:f>
      </x:c>
      <x:c r="AT22" s="102" t="str">
        <x:f t="shared" si="20">IF(OR(AQ22="",R22=0),"",IFERROR(U22/R22*AQ22,0))</x:f>
      </x:c>
      <x:c r="AU22" s="102" t="str">
        <x:f t="shared" si="27">IF(AQ22="","",AQ22-AT22)</x:f>
      </x:c>
      <x:c r="AV22" s="102" t="str">
        <x:f t="shared" si="28">IF(AU22="","",AU22*$P$4)</x:f>
      </x:c>
      <x:c r="AW22" s="102" t="str">
        <x:f t="shared" si="21">IF(AQ22="","",AQ22-AP22+AS22-AV22)</x:f>
      </x:c>
      <x:c r="AX22" s="102" t="str">
        <x:f t="shared" si="22">IF(OR(AW22="",Q22=0),"",AW22/Q22)</x:f>
      </x:c>
      <x:c r="AY22" s="102" t="str">
        <x:f t="shared" si="23">IF(AX22="","",AX22-C22)</x:f>
      </x:c>
    </x:row>
    <x:row r="23">
      <x:c r="A23" s="22" t="s">
        <x:v>57</x:v>
      </x:c>
      <x:c r="B23" s="2" t="s">
        <x:v>58</x:v>
      </x:c>
      <x:c r="C23" s="4" t="n">
        <x:f t="shared" ref="C23:C25" si="89">D23+E23</x:f>
        <x:v>100</x:v>
      </x:c>
      <x:c r="D23" s="4">
        <x:v>50</x:v>
      </x:c>
      <x:c r="E23" s="3">
        <x:v>50</x:v>
      </x:c>
      <x:c r="F23" s="4" t="n">
        <x:f t="shared" ref="F23:F25" si="90">D23*Q23</x:f>
        <x:v>0</x:v>
      </x:c>
      <x:c r="G23" s="3" t="n">
        <x:f t="shared" ref="G23:G25" si="91">E23*Q23</x:f>
        <x:v>0</x:v>
      </x:c>
      <x:c r="H23" s="4" t="n">
        <x:f t="shared" ref="H23:H25" si="92">Q23*C23</x:f>
        <x:v>0</x:v>
      </x:c>
      <x:c r="I23" s="4" t="n">
        <x:f t="shared" ref="I23:I25" si="93">IFERROR(J23/C23,0)</x:f>
        <x:v>0</x:v>
      </x:c>
      <x:c r="J23" s="4" t="n">
        <x:f t="shared" ref="J23:J25" si="94">IFERROR(L23/Q23,0)</x:f>
        <x:v>0</x:v>
      </x:c>
      <x:c r="K23" s="4" t="n">
        <x:f t="shared" ref="K23:K25" si="95">IFERROR(M23/Q23,0)</x:f>
        <x:v>0</x:v>
      </x:c>
      <x:c r="L23" s="4" t="n">
        <x:f t="shared" ref="L23:L25" si="96">M23-H23-O23</x:f>
        <x:v>0</x:v>
      </x:c>
      <x:c r="M23" s="4" t="n">
        <x:f t="shared" si="10">AG23</x:f>
        <x:v>0</x:v>
      </x:c>
      <x:c r="N23" s="4" t="str">
        <x:f t="shared" ref="N23:N25" si="97">IFERROR(R23/Q23,"")</x:f>
      </x:c>
      <x:c r="O23" s="6" t="n">
        <x:f t="shared" si="12">P23*$P$4</x:f>
        <x:v>0</x:v>
      </x:c>
      <x:c r="P23" s="6" t="n">
        <x:f t="shared" ref="P23:P25" si="98">S23+T23</x:f>
        <x:v>0</x:v>
      </x:c>
      <x:c r="Q23" s="70" t="n">
        <x:f t="shared" ref="Q23:Q25" si="99">S23-AH23</x:f>
        <x:v>0</x:v>
      </x:c>
      <x:c r="R23" s="67" t="n">
        <x:f>SUM(S23:U23)</x:f>
        <x:v>0</x:v>
      </x:c>
      <x:c r="S23" s="67"/>
      <x:c r="T23" s="67"/>
      <x:c r="U23" s="67"/>
      <x:c r="V23" s="67"/>
      <x:c r="W23" s="67"/>
      <x:c r="X23" s="67"/>
      <x:c r="Y23" s="67"/>
      <x:c r="Z23" s="67"/>
      <x:c r="AA23" s="67"/>
      <x:c r="AB23" s="67"/>
      <x:c r="AC23" s="67"/>
      <x:c r="AD23" s="67"/>
      <x:c r="AE23" s="67"/>
      <x:c r="AF23" s="67"/>
      <x:c r="AG23" s="67" t="n">
        <x:f>SUM(S23:AF23)</x:f>
        <x:v>0</x:v>
      </x:c>
      <x:c r="AH23" s="2" t="n">
        <x:f t="shared" ref="AH23:AH25" si="100">SUM(AI23:AK23)</x:f>
        <x:v>0</x:v>
      </x:c>
      <x:c r="AI23" s="11"/>
      <x:c r="AJ23" s="11"/>
      <x:c r="AK23" s="24"/>
      <x:c r="AL23" s="102" t="str">
        <x:f t="shared" si="16">IFERROR(R23/Q23,"")</x:f>
      </x:c>
      <x:c r="AM23" s="105" t="str">
        <x:f>IF(OR(AL23="",AN23=""),"",IFERROR(AN23/AL23-1,0))</x:f>
      </x:c>
      <x:c r="AN23" s="103" t="str">
        <x:f t="shared" si="17">IF(AL23="","",AL23)</x:f>
      </x:c>
      <x:c r="AO23" s="105" t="str">
        <x:f t="shared" si="24">IF(OR(Q23=0,AN23=""),"",IFERROR(AY23/C23,0))</x:f>
      </x:c>
      <x:c r="AP23" s="102" t="str">
        <x:f t="shared" si="25">IF(Q23=0,"",R23-M23+V23)</x:f>
      </x:c>
      <x:c r="AQ23" s="102" t="str">
        <x:f t="shared" si="18">IF(OR(AN23="",Q23=0),"",AN23*Q23)</x:f>
      </x:c>
      <x:c r="AR23" s="105" t="str">
        <x:f t="shared" si="19">IF(OR(R23=0,Q23=0),"",IFERROR(-V23/R23,0))</x:f>
      </x:c>
      <x:c r="AS23" s="102" t="str">
        <x:f t="shared" si="26">IF(AQ23="","",-AQ23*AR23)</x:f>
      </x:c>
      <x:c r="AT23" s="102" t="str">
        <x:f t="shared" si="20">IF(OR(AQ23="",R23=0),"",IFERROR(U23/R23*AQ23,0))</x:f>
      </x:c>
      <x:c r="AU23" s="102" t="str">
        <x:f t="shared" si="27">IF(AQ23="","",AQ23-AT23)</x:f>
      </x:c>
      <x:c r="AV23" s="102" t="str">
        <x:f t="shared" si="28">IF(AU23="","",AU23*$P$4)</x:f>
      </x:c>
      <x:c r="AW23" s="102" t="str">
        <x:f t="shared" si="21">IF(AQ23="","",AQ23-AP23+AS23-AV23)</x:f>
      </x:c>
      <x:c r="AX23" s="102" t="str">
        <x:f t="shared" si="22">IF(OR(AW23="",Q23=0),"",AW23/Q23)</x:f>
      </x:c>
      <x:c r="AY23" s="102" t="str">
        <x:f t="shared" si="23">IF(AX23="","",AX23-C23)</x:f>
      </x:c>
    </x:row>
    <x:row r="24">
      <x:c r="A24" s="22" t="s">
        <x:v>59</x:v>
      </x:c>
      <x:c r="B24" s="2" t="s">
        <x:v>58</x:v>
      </x:c>
      <x:c r="C24" s="4" t="n">
        <x:f t="shared" ref="C24" si="101">D24+E24</x:f>
        <x:v>100</x:v>
      </x:c>
      <x:c r="D24" s="4">
        <x:v>50</x:v>
      </x:c>
      <x:c r="E24" s="3">
        <x:v>50</x:v>
      </x:c>
      <x:c r="F24" s="4" t="n">
        <x:f t="shared" ref="F24" si="102">D24*Q24</x:f>
        <x:v>0</x:v>
      </x:c>
      <x:c r="G24" s="3" t="n">
        <x:f t="shared" ref="G24" si="103">E24*Q24</x:f>
        <x:v>0</x:v>
      </x:c>
      <x:c r="H24" s="4" t="n">
        <x:f t="shared" ref="H24" si="104">Q24*C24</x:f>
        <x:v>0</x:v>
      </x:c>
      <x:c r="I24" s="4" t="n">
        <x:f t="shared" ref="I24" si="105">IFERROR(J24/C24,0)</x:f>
        <x:v>0</x:v>
      </x:c>
      <x:c r="J24" s="4" t="n">
        <x:f t="shared" ref="J24" si="106">IFERROR(L24/Q24,0)</x:f>
        <x:v>0</x:v>
      </x:c>
      <x:c r="K24" s="4" t="n">
        <x:f t="shared" ref="K24" si="107">IFERROR(M24/Q24,0)</x:f>
        <x:v>0</x:v>
      </x:c>
      <x:c r="L24" s="4" t="n">
        <x:f t="shared" ref="L24" si="108">M24-H24-O24</x:f>
        <x:v>0</x:v>
      </x:c>
      <x:c r="M24" s="4" t="n">
        <x:f t="shared" si="10">AG24</x:f>
        <x:v>0</x:v>
      </x:c>
      <x:c r="N24" s="4" t="str">
        <x:f t="shared" ref="N24" si="109">IFERROR(R24/Q24,"")</x:f>
      </x:c>
      <x:c r="O24" s="6" t="n">
        <x:f t="shared" si="12">P24*$P$4</x:f>
        <x:v>0</x:v>
      </x:c>
      <x:c r="P24" s="6" t="n">
        <x:f t="shared" ref="P24" si="110">S24+T24</x:f>
        <x:v>0</x:v>
      </x:c>
      <x:c r="Q24" s="70" t="n">
        <x:f t="shared" ref="Q24" si="111">S24-AH24</x:f>
        <x:v>0</x:v>
      </x:c>
      <x:c r="R24" s="67" t="n">
        <x:f>SUM(S24:U24)</x:f>
        <x:v>0</x:v>
      </x:c>
      <x:c r="S24" s="67"/>
      <x:c r="T24" s="67"/>
      <x:c r="U24" s="67"/>
      <x:c r="V24" s="67"/>
      <x:c r="W24" s="67"/>
      <x:c r="X24" s="67"/>
      <x:c r="Y24" s="67"/>
      <x:c r="Z24" s="67"/>
      <x:c r="AA24" s="67"/>
      <x:c r="AB24" s="67"/>
      <x:c r="AC24" s="67"/>
      <x:c r="AD24" s="67"/>
      <x:c r="AE24" s="67"/>
      <x:c r="AF24" s="67"/>
      <x:c r="AG24" s="67" t="n">
        <x:f>SUM(S24:AF24)</x:f>
        <x:v>0</x:v>
      </x:c>
      <x:c r="AH24" s="2" t="n">
        <x:f t="shared" ref="AH24" si="112">SUM(AI24:AK24)</x:f>
        <x:v>0</x:v>
      </x:c>
      <x:c r="AI24" s="11"/>
      <x:c r="AJ24" s="11"/>
      <x:c r="AK24" s="24"/>
      <x:c r="AL24" s="102" t="str">
        <x:f t="shared" si="16">IFERROR(R24/Q24,"")</x:f>
      </x:c>
      <x:c r="AM24" s="105" t="str">
        <x:f>IF(OR(AL24="",AN24=""),"",IFERROR(AN24/AL24-1,0))</x:f>
      </x:c>
      <x:c r="AN24" s="103" t="str">
        <x:f t="shared" si="17">IF(AL24="","",AL24)</x:f>
      </x:c>
      <x:c r="AO24" s="105" t="str">
        <x:f t="shared" si="24">IF(OR(Q24=0,AN24=""),"",IFERROR(AY24/C24,0))</x:f>
      </x:c>
      <x:c r="AP24" s="102" t="str">
        <x:f t="shared" si="25">IF(Q24=0,"",R24-M24+V24)</x:f>
      </x:c>
      <x:c r="AQ24" s="102" t="str">
        <x:f t="shared" si="18">IF(OR(AN24="",Q24=0),"",AN24*Q24)</x:f>
      </x:c>
      <x:c r="AR24" s="105" t="str">
        <x:f t="shared" si="19">IF(OR(R24=0,Q24=0),"",IFERROR(-V24/R24,0))</x:f>
      </x:c>
      <x:c r="AS24" s="102" t="str">
        <x:f t="shared" si="26">IF(AQ24="","",-AQ24*AR24)</x:f>
      </x:c>
      <x:c r="AT24" s="102" t="str">
        <x:f t="shared" si="20">IF(OR(AQ24="",R24=0),"",IFERROR(U24/R24*AQ24,0))</x:f>
      </x:c>
      <x:c r="AU24" s="102" t="str">
        <x:f t="shared" si="27">IF(AQ24="","",AQ24-AT24)</x:f>
      </x:c>
      <x:c r="AV24" s="102" t="str">
        <x:f t="shared" si="28">IF(AU24="","",AU24*$P$4)</x:f>
      </x:c>
      <x:c r="AW24" s="102" t="str">
        <x:f t="shared" si="21">IF(AQ24="","",AQ24-AP24+AS24-AV24)</x:f>
      </x:c>
      <x:c r="AX24" s="102" t="str">
        <x:f t="shared" si="22">IF(OR(AW24="",Q24=0),"",AW24/Q24)</x:f>
      </x:c>
      <x:c r="AY24" s="102" t="str">
        <x:f t="shared" si="23">IF(AX24="","",AX24-C24)</x:f>
      </x:c>
    </x:row>
    <x:row r="25">
      <x:c r="A25" s="22" t="s">
        <x:v>60</x:v>
      </x:c>
      <x:c r="B25" s="2" t="s">
        <x:v>61</x:v>
      </x:c>
      <x:c r="C25" s="4" t="n">
        <x:f t="shared" si="89">D25+E25</x:f>
        <x:v>100</x:v>
      </x:c>
      <x:c r="D25" s="4">
        <x:v>50</x:v>
      </x:c>
      <x:c r="E25" s="3">
        <x:v>50</x:v>
      </x:c>
      <x:c r="F25" s="4" t="n">
        <x:f t="shared" si="90">D25*Q25</x:f>
        <x:v>0</x:v>
      </x:c>
      <x:c r="G25" s="3" t="n">
        <x:f t="shared" si="91">E25*Q25</x:f>
        <x:v>0</x:v>
      </x:c>
      <x:c r="H25" s="4" t="n">
        <x:f t="shared" si="92">Q25*C25</x:f>
        <x:v>0</x:v>
      </x:c>
      <x:c r="I25" s="4" t="n">
        <x:f t="shared" si="93">IFERROR(J25/C25,0)</x:f>
        <x:v>0</x:v>
      </x:c>
      <x:c r="J25" s="4" t="n">
        <x:f t="shared" si="94">IFERROR(L25/Q25,0)</x:f>
        <x:v>0</x:v>
      </x:c>
      <x:c r="K25" s="4" t="n">
        <x:f t="shared" si="95">IFERROR(M25/Q25,0)</x:f>
        <x:v>0</x:v>
      </x:c>
      <x:c r="L25" s="4" t="n">
        <x:f t="shared" si="96">M25-H25-O25</x:f>
        <x:v>0</x:v>
      </x:c>
      <x:c r="M25" s="4" t="n">
        <x:f t="shared" si="10">AG25</x:f>
        <x:v>0</x:v>
      </x:c>
      <x:c r="N25" s="4" t="str">
        <x:f t="shared" si="97">IFERROR(R25/Q25,"")</x:f>
      </x:c>
      <x:c r="O25" s="6" t="n">
        <x:f t="shared" ref="O25" si="113">P25*$P$4</x:f>
        <x:v>0</x:v>
      </x:c>
      <x:c r="P25" s="6" t="n">
        <x:f t="shared" si="98">S25+T25</x:f>
        <x:v>0</x:v>
      </x:c>
      <x:c r="Q25" s="70">
        <x:f t="shared" si="99"/>
      </x:c>
      <x:c r="R25" s="67" t="n">
        <x:f>SUM(S25:U25)</x:f>
        <x:v>0</x:v>
      </x:c>
      <x:c r="S25" s="67"/>
      <x:c r="T25" s="67"/>
      <x:c r="U25" s="67"/>
      <x:c r="V25" s="67"/>
      <x:c r="W25" s="67"/>
      <x:c r="X25" s="67"/>
      <x:c r="Y25" s="67"/>
      <x:c r="Z25" s="67"/>
      <x:c r="AA25" s="67"/>
      <x:c r="AB25" s="67"/>
      <x:c r="AC25" s="67"/>
      <x:c r="AD25" s="67"/>
      <x:c r="AE25" s="67"/>
      <x:c r="AF25" s="67"/>
      <x:c r="AG25" s="67" t="n">
        <x:f>SUM(S25:AF25)</x:f>
        <x:v>0</x:v>
      </x:c>
      <x:c r="AH25" s="2">
        <x:f t="shared" si="100"/>
      </x:c>
      <x:c r="AI25" s="11"/>
      <x:c r="AJ25" s="11"/>
      <x:c r="AK25" s="24"/>
      <x:c r="AL25" s="102" t="str">
        <x:f t="shared" si="16">IFERROR(R25/Q25,"")</x:f>
      </x:c>
      <x:c r="AM25" s="105" t="str">
        <x:f>IF(OR(AL25="",AN25=""),"",IFERROR(AN25/AL25-1,0))</x:f>
      </x:c>
      <x:c r="AN25" s="103" t="str">
        <x:f t="shared" si="17">IF(AL25="","",AL25)</x:f>
      </x:c>
      <x:c r="AO25" s="105" t="str">
        <x:f t="shared" si="24">IF(OR(Q25=0,AN25=""),"",IFERROR(AY25/C25,0))</x:f>
      </x:c>
      <x:c r="AP25" s="102" t="str">
        <x:f t="shared" si="25">IF(Q25=0,"",R25-M25+V25)</x:f>
      </x:c>
      <x:c r="AQ25" s="102" t="str">
        <x:f t="shared" si="18">IF(OR(AN25="",Q25=0),"",AN25*Q25)</x:f>
      </x:c>
      <x:c r="AR25" s="105" t="str">
        <x:f t="shared" si="19">IF(OR(R25=0,Q25=0),"",IFERROR(-V25/R25,0))</x:f>
      </x:c>
      <x:c r="AS25" s="102" t="str">
        <x:f t="shared" si="26">IF(AQ25="","",-AQ25*AR25)</x:f>
      </x:c>
      <x:c r="AT25" s="102" t="str">
        <x:f t="shared" si="20">IF(OR(AQ25="",R25=0),"",IFERROR(U25/R25*AQ25,0))</x:f>
      </x:c>
      <x:c r="AU25" s="102" t="str">
        <x:f t="shared" si="27">IF(AQ25="","",AQ25-AT25)</x:f>
      </x:c>
      <x:c r="AV25" s="102" t="str">
        <x:f t="shared" si="28">IF(AU25="","",AU25*$P$4)</x:f>
      </x:c>
      <x:c r="AW25" s="102" t="str">
        <x:f t="shared" si="21">IF(AQ25="","",AQ25-AP25+AS25-AV25)</x:f>
      </x:c>
      <x:c r="AX25" s="102" t="str">
        <x:f t="shared" si="22">IF(OR(AW25="",Q25=0),"",AW25/Q25)</x:f>
      </x:c>
      <x:c r="AY25" s="102" t="str">
        <x:f t="shared" si="23">IF(AX25="","",AX25-C25)</x:f>
      </x:c>
    </x:row>
    <x:row r="26">
      <x:c r="A26" s="22" t="s">
        <x:v>62</x:v>
      </x:c>
      <x:c r="B26" s="2" t="s">
        <x:v>63</x:v>
      </x:c>
      <x:c r="C26" s="4" t="n">
        <x:f t="shared" ref="C26:C27" si="114">D26+E26</x:f>
        <x:v>100</x:v>
      </x:c>
      <x:c r="D26" s="4">
        <x:v>50</x:v>
      </x:c>
      <x:c r="E26" s="3">
        <x:v>50</x:v>
      </x:c>
      <x:c r="F26" s="4" t="n">
        <x:f t="shared" ref="F26:F27" si="115">D26*Q26</x:f>
        <x:v>0</x:v>
      </x:c>
      <x:c r="G26" s="3" t="n">
        <x:f t="shared" ref="G26:G27" si="116">E26*Q26</x:f>
        <x:v>0</x:v>
      </x:c>
      <x:c r="H26" s="4" t="n">
        <x:f t="shared" ref="H26:H27" si="117">Q26*C26</x:f>
        <x:v>0</x:v>
      </x:c>
      <x:c r="I26" s="4" t="n">
        <x:f t="shared" ref="I26:I27" si="118">IFERROR(J26/C26,0)</x:f>
        <x:v>0</x:v>
      </x:c>
      <x:c r="J26" s="4" t="n">
        <x:f t="shared" ref="J26:J27" si="119">IFERROR(L26/Q26,0)</x:f>
        <x:v>0</x:v>
      </x:c>
      <x:c r="K26" s="4" t="n">
        <x:f t="shared" ref="K26:K27" si="120">IFERROR(M26/Q26,0)</x:f>
        <x:v>0</x:v>
      </x:c>
      <x:c r="L26" s="4" t="n">
        <x:f t="shared" ref="L26:L27" si="121">M26-H26-O26</x:f>
        <x:v>0</x:v>
      </x:c>
      <x:c r="M26" s="4" t="n">
        <x:f t="shared" si="10">AG26</x:f>
        <x:v>0</x:v>
      </x:c>
      <x:c r="N26" s="4" t="str">
        <x:f t="shared" ref="N26:N27" si="122">IFERROR(R26/Q26,"")</x:f>
      </x:c>
      <x:c r="O26" s="6" t="n">
        <x:f t="shared" si="12">P26*$P$4</x:f>
        <x:v>0</x:v>
      </x:c>
      <x:c r="P26" s="6" t="n">
        <x:f t="shared" ref="P26:P27" si="123">S26+T26</x:f>
        <x:v>0</x:v>
      </x:c>
      <x:c r="Q26" s="70" t="n">
        <x:f t="shared" ref="Q26:Q27" si="124">S26-AH26</x:f>
        <x:v>0</x:v>
      </x:c>
      <x:c r="R26" s="67" t="n">
        <x:f>SUM(S26:U26)</x:f>
        <x:v>0</x:v>
      </x:c>
      <x:c r="S26" s="67"/>
      <x:c r="T26" s="67"/>
      <x:c r="U26" s="67"/>
      <x:c r="V26" s="67"/>
      <x:c r="W26" s="67"/>
      <x:c r="X26" s="67"/>
      <x:c r="Y26" s="67"/>
      <x:c r="Z26" s="67"/>
      <x:c r="AA26" s="67"/>
      <x:c r="AB26" s="67"/>
      <x:c r="AC26" s="67"/>
      <x:c r="AD26" s="67"/>
      <x:c r="AE26" s="67"/>
      <x:c r="AF26" s="67"/>
      <x:c r="AG26" s="67" t="n">
        <x:f>SUM(S26:AF26)</x:f>
        <x:v>0</x:v>
      </x:c>
      <x:c r="AH26" s="2" t="n">
        <x:f t="shared" ref="AH26:AH27" si="125">SUM(AI26:AK26)</x:f>
        <x:v>0</x:v>
      </x:c>
      <x:c r="AI26" s="11"/>
      <x:c r="AJ26" s="11"/>
      <x:c r="AK26" s="24"/>
      <x:c r="AL26" s="102" t="str">
        <x:f t="shared" si="16">IFERROR(R26/Q26,"")</x:f>
      </x:c>
      <x:c r="AM26" s="105" t="str">
        <x:f>IF(OR(AL26="",AN26=""),"",IFERROR(AN26/AL26-1,0))</x:f>
      </x:c>
      <x:c r="AN26" s="103" t="str">
        <x:f t="shared" si="17">IF(AL26="","",AL26)</x:f>
      </x:c>
      <x:c r="AO26" s="105" t="str">
        <x:f t="shared" si="24">IF(OR(Q26=0,AN26=""),"",IFERROR(AY26/C26,0))</x:f>
      </x:c>
      <x:c r="AP26" s="102" t="str">
        <x:f t="shared" si="25">IF(Q26=0,"",R26-M26+V26)</x:f>
      </x:c>
      <x:c r="AQ26" s="102" t="str">
        <x:f t="shared" si="18">IF(OR(AN26="",Q26=0),"",AN26*Q26)</x:f>
      </x:c>
      <x:c r="AR26" s="105" t="str">
        <x:f t="shared" si="19">IF(OR(R26=0,Q26=0),"",IFERROR(-V26/R26,0))</x:f>
      </x:c>
      <x:c r="AS26" s="102" t="str">
        <x:f t="shared" si="26">IF(AQ26="","",-AQ26*AR26)</x:f>
      </x:c>
      <x:c r="AT26" s="102" t="str">
        <x:f t="shared" si="20">IF(OR(AQ26="",R26=0),"",IFERROR(U26/R26*AQ26,0))</x:f>
      </x:c>
      <x:c r="AU26" s="102" t="str">
        <x:f t="shared" si="27">IF(AQ26="","",AQ26-AT26)</x:f>
      </x:c>
      <x:c r="AV26" s="102" t="str">
        <x:f t="shared" si="28">IF(AU26="","",AU26*$P$4)</x:f>
      </x:c>
      <x:c r="AW26" s="102" t="str">
        <x:f t="shared" si="21">IF(AQ26="","",AQ26-AP26+AS26-AV26)</x:f>
      </x:c>
      <x:c r="AX26" s="102" t="str">
        <x:f t="shared" si="22">IF(OR(AW26="",Q26=0),"",AW26/Q26)</x:f>
      </x:c>
      <x:c r="AY26" s="102" t="str">
        <x:f t="shared" si="23">IF(AX26="","",AX26-C26)</x:f>
      </x:c>
    </x:row>
    <x:row r="27">
      <x:c r="A27" s="22" t="s">
        <x:v>64</x:v>
      </x:c>
      <x:c r="B27" s="2" t="s">
        <x:v>63</x:v>
      </x:c>
      <x:c r="C27" s="4" t="n">
        <x:f t="shared" si="114">D27+E27</x:f>
        <x:v>100</x:v>
      </x:c>
      <x:c r="D27" s="4">
        <x:v>50</x:v>
      </x:c>
      <x:c r="E27" s="3">
        <x:v>50</x:v>
      </x:c>
      <x:c r="F27" s="4" t="n">
        <x:f t="shared" si="115">D27*Q27</x:f>
        <x:v>0</x:v>
      </x:c>
      <x:c r="G27" s="3" t="n">
        <x:f t="shared" si="116">E27*Q27</x:f>
        <x:v>0</x:v>
      </x:c>
      <x:c r="H27" s="4" t="n">
        <x:f t="shared" si="117">Q27*C27</x:f>
        <x:v>0</x:v>
      </x:c>
      <x:c r="I27" s="4" t="n">
        <x:f t="shared" si="118">IFERROR(J27/C27,0)</x:f>
        <x:v>0</x:v>
      </x:c>
      <x:c r="J27" s="4" t="n">
        <x:f t="shared" si="119">IFERROR(L27/Q27,0)</x:f>
        <x:v>0</x:v>
      </x:c>
      <x:c r="K27" s="4" t="n">
        <x:f t="shared" si="120">IFERROR(M27/Q27,0)</x:f>
        <x:v>0</x:v>
      </x:c>
      <x:c r="L27" s="4" t="n">
        <x:f t="shared" si="121">M27-H27-O27</x:f>
        <x:v>0</x:v>
      </x:c>
      <x:c r="M27" s="4" t="n">
        <x:f t="shared" si="10">AG27</x:f>
        <x:v>0</x:v>
      </x:c>
      <x:c r="N27" s="4" t="str">
        <x:f t="shared" si="122">IFERROR(R27/Q27,"")</x:f>
      </x:c>
      <x:c r="O27" s="6" t="n">
        <x:f t="shared" ref="O27" si="126">P27*$P$4</x:f>
        <x:v>0</x:v>
      </x:c>
      <x:c r="P27" s="6" t="n">
        <x:f t="shared" si="123">S27+T27</x:f>
        <x:v>0</x:v>
      </x:c>
      <x:c r="Q27" s="70">
        <x:f t="shared" si="124"/>
      </x:c>
      <x:c r="R27" s="67" t="n">
        <x:f>SUM(S27:U27)</x:f>
        <x:v>0</x:v>
      </x:c>
      <x:c r="S27" s="67"/>
      <x:c r="T27" s="67"/>
      <x:c r="U27" s="67"/>
      <x:c r="V27" s="67"/>
      <x:c r="W27" s="67"/>
      <x:c r="X27" s="67"/>
      <x:c r="Y27" s="67"/>
      <x:c r="Z27" s="67"/>
      <x:c r="AA27" s="67"/>
      <x:c r="AB27" s="67"/>
      <x:c r="AC27" s="67"/>
      <x:c r="AD27" s="67"/>
      <x:c r="AE27" s="67"/>
      <x:c r="AF27" s="67"/>
      <x:c r="AG27" s="67" t="n">
        <x:f>SUM(S27:AF27)</x:f>
        <x:v>0</x:v>
      </x:c>
      <x:c r="AH27" s="2">
        <x:f t="shared" si="125"/>
      </x:c>
      <x:c r="AI27" s="11"/>
      <x:c r="AJ27" s="11"/>
      <x:c r="AK27" s="24"/>
      <x:c r="AL27" s="102" t="str">
        <x:f t="shared" si="16">IFERROR(R27/Q27,"")</x:f>
      </x:c>
      <x:c r="AM27" s="105" t="str">
        <x:f>IF(OR(AL27="",AN27=""),"",IFERROR(AN27/AL27-1,0))</x:f>
      </x:c>
      <x:c r="AN27" s="103" t="str">
        <x:f t="shared" si="17">IF(AL27="","",AL27)</x:f>
      </x:c>
      <x:c r="AO27" s="105" t="str">
        <x:f t="shared" si="24">IF(OR(Q27=0,AN27=""),"",IFERROR(AY27/C27,0))</x:f>
      </x:c>
      <x:c r="AP27" s="102" t="str">
        <x:f t="shared" si="25">IF(Q27=0,"",R27-M27+V27)</x:f>
      </x:c>
      <x:c r="AQ27" s="102" t="str">
        <x:f t="shared" si="18">IF(OR(AN27="",Q27=0),"",AN27*Q27)</x:f>
      </x:c>
      <x:c r="AR27" s="105" t="str">
        <x:f t="shared" si="19">IF(OR(R27=0,Q27=0),"",IFERROR(-V27/R27,0))</x:f>
      </x:c>
      <x:c r="AS27" s="102" t="str">
        <x:f t="shared" si="26">IF(AQ27="","",-AQ27*AR27)</x:f>
      </x:c>
      <x:c r="AT27" s="102" t="str">
        <x:f t="shared" si="20">IF(OR(AQ27="",R27=0),"",IFERROR(U27/R27*AQ27,0))</x:f>
      </x:c>
      <x:c r="AU27" s="102" t="str">
        <x:f t="shared" si="27">IF(AQ27="","",AQ27-AT27)</x:f>
      </x:c>
      <x:c r="AV27" s="102" t="str">
        <x:f t="shared" si="28">IF(AU27="","",AU27*$P$4)</x:f>
      </x:c>
      <x:c r="AW27" s="102" t="str">
        <x:f t="shared" si="21">IF(AQ27="","",AQ27-AP27+AS27-AV27)</x:f>
      </x:c>
      <x:c r="AX27" s="102" t="str">
        <x:f t="shared" si="22">IF(OR(AW27="",Q27=0),"",AW27/Q27)</x:f>
      </x:c>
      <x:c r="AY27" s="102" t="str">
        <x:f t="shared" si="23">IF(AX27="","",AX27-C27)</x:f>
      </x:c>
    </x:row>
    <x:row r="28">
      <x:c r="A28" s="22" t="s">
        <x:v>65</x:v>
      </x:c>
      <x:c r="B28" s="2" t="s">
        <x:v>63</x:v>
      </x:c>
      <x:c r="C28" s="4" t="n">
        <x:f t="shared" ref="C28" si="127">D28+E28</x:f>
        <x:v>100</x:v>
      </x:c>
      <x:c r="D28" s="4">
        <x:v>50</x:v>
      </x:c>
      <x:c r="E28" s="3">
        <x:v>50</x:v>
      </x:c>
      <x:c r="F28" s="4" t="n">
        <x:f t="shared" ref="F28" si="128">D28*Q28</x:f>
        <x:v>0</x:v>
      </x:c>
      <x:c r="G28" s="3" t="n">
        <x:f t="shared" ref="G28" si="129">E28*Q28</x:f>
        <x:v>0</x:v>
      </x:c>
      <x:c r="H28" s="4" t="n">
        <x:f t="shared" ref="H28" si="130">Q28*C28</x:f>
        <x:v>0</x:v>
      </x:c>
      <x:c r="I28" s="4" t="n">
        <x:f t="shared" ref="I28" si="131">IFERROR(J28/C28,0)</x:f>
        <x:v>0</x:v>
      </x:c>
      <x:c r="J28" s="4" t="n">
        <x:f t="shared" ref="J28" si="132">IFERROR(L28/Q28,0)</x:f>
        <x:v>0</x:v>
      </x:c>
      <x:c r="K28" s="4" t="n">
        <x:f t="shared" ref="K28" si="133">IFERROR(M28/Q28,0)</x:f>
        <x:v>0</x:v>
      </x:c>
      <x:c r="L28" s="4" t="n">
        <x:f t="shared" ref="L28" si="134">M28-H28-O28</x:f>
        <x:v>0</x:v>
      </x:c>
      <x:c r="M28" s="4" t="n">
        <x:f t="shared" si="10">AG28</x:f>
        <x:v>0</x:v>
      </x:c>
      <x:c r="N28" s="4" t="str">
        <x:f t="shared" ref="N28" si="135">IFERROR(R28/Q28,"")</x:f>
      </x:c>
      <x:c r="O28" s="6" t="n">
        <x:f t="shared" si="12">P28*$P$4</x:f>
        <x:v>0</x:v>
      </x:c>
      <x:c r="P28" s="6" t="n">
        <x:f t="shared" ref="P28" si="136">S28+T28</x:f>
        <x:v>0</x:v>
      </x:c>
      <x:c r="Q28" s="70" t="n">
        <x:f t="shared" ref="Q28" si="137">S28-AH28</x:f>
        <x:v>0</x:v>
      </x:c>
      <x:c r="R28" s="67" t="n">
        <x:f>SUM(S28:U28)</x:f>
        <x:v>0</x:v>
      </x:c>
      <x:c r="S28" s="67"/>
      <x:c r="T28" s="67"/>
      <x:c r="U28" s="67"/>
      <x:c r="V28" s="67"/>
      <x:c r="W28" s="67"/>
      <x:c r="X28" s="67"/>
      <x:c r="Y28" s="67"/>
      <x:c r="Z28" s="67"/>
      <x:c r="AA28" s="67"/>
      <x:c r="AB28" s="67"/>
      <x:c r="AC28" s="67"/>
      <x:c r="AD28" s="67"/>
      <x:c r="AE28" s="67"/>
      <x:c r="AF28" s="67"/>
      <x:c r="AG28" s="67" t="n">
        <x:f>SUM(S28:AF28)</x:f>
        <x:v>0</x:v>
      </x:c>
      <x:c r="AH28" s="2" t="n">
        <x:f t="shared" ref="AH28" si="138">SUM(AI28:AK28)</x:f>
        <x:v>0</x:v>
      </x:c>
      <x:c r="AI28" s="11"/>
      <x:c r="AJ28" s="11"/>
      <x:c r="AK28" s="24"/>
      <x:c r="AL28" s="102" t="str">
        <x:f t="shared" si="16">IFERROR(R28/Q28,"")</x:f>
      </x:c>
      <x:c r="AM28" s="105" t="str">
        <x:f>IF(OR(AL28="",AN28=""),"",IFERROR(AN28/AL28-1,0))</x:f>
      </x:c>
      <x:c r="AN28" s="103" t="str">
        <x:f t="shared" si="17">IF(AL28="","",AL28)</x:f>
      </x:c>
      <x:c r="AO28" s="105" t="str">
        <x:f t="shared" si="24">IF(OR(Q28=0,AN28=""),"",IFERROR(AY28/C28,0))</x:f>
      </x:c>
      <x:c r="AP28" s="102" t="str">
        <x:f t="shared" si="25">IF(Q28=0,"",R28-M28+V28)</x:f>
      </x:c>
      <x:c r="AQ28" s="102" t="str">
        <x:f t="shared" si="18">IF(OR(AN28="",Q28=0),"",AN28*Q28)</x:f>
      </x:c>
      <x:c r="AR28" s="105" t="str">
        <x:f t="shared" si="19">IF(OR(R28=0,Q28=0),"",IFERROR(-V28/R28,0))</x:f>
      </x:c>
      <x:c r="AS28" s="102" t="str">
        <x:f t="shared" si="26">IF(AQ28="","",-AQ28*AR28)</x:f>
      </x:c>
      <x:c r="AT28" s="102" t="str">
        <x:f t="shared" si="20">IF(OR(AQ28="",R28=0),"",IFERROR(U28/R28*AQ28,0))</x:f>
      </x:c>
      <x:c r="AU28" s="102" t="str">
        <x:f t="shared" si="27">IF(AQ28="","",AQ28-AT28)</x:f>
      </x:c>
      <x:c r="AV28" s="102" t="str">
        <x:f t="shared" si="28">IF(AU28="","",AU28*$P$4)</x:f>
      </x:c>
      <x:c r="AW28" s="102" t="str">
        <x:f t="shared" si="21">IF(AQ28="","",AQ28-AP28+AS28-AV28)</x:f>
      </x:c>
      <x:c r="AX28" s="102" t="str">
        <x:f t="shared" si="22">IF(OR(AW28="",Q28=0),"",AW28/Q28)</x:f>
      </x:c>
      <x:c r="AY28" s="102" t="str">
        <x:f t="shared" si="23">IF(AX28="","",AX28-C28)</x:f>
      </x:c>
    </x:row>
    <x:row r="29" ht="15">
      <x:c r="A29" s="35"/>
      <x:c r="B29" s="36"/>
      <x:c r="C29" s="36"/>
      <x:c r="D29" s="37"/>
      <x:c r="E29" s="36"/>
      <x:c r="F29" s="36"/>
      <x:c r="G29" s="36"/>
      <x:c r="H29" s="37"/>
      <x:c r="I29" s="37"/>
      <x:c r="J29" s="37"/>
      <x:c r="K29" s="37"/>
      <x:c r="L29" s="37"/>
      <x:c r="M29" s="37"/>
      <x:c r="N29" s="37"/>
      <x:c r="O29" s="36"/>
      <x:c r="P29" s="36"/>
      <x:c r="Q29" s="71"/>
      <x:c r="R29" s="68"/>
      <x:c r="S29" s="68"/>
      <x:c r="T29" s="68"/>
      <x:c r="U29" s="68"/>
      <x:c r="V29" s="68"/>
      <x:c r="W29" s="68"/>
      <x:c r="X29" s="68"/>
      <x:c r="Y29" s="68"/>
      <x:c r="Z29" s="68"/>
      <x:c r="AA29" s="68"/>
      <x:c r="AB29" s="68"/>
      <x:c r="AC29" s="68"/>
      <x:c r="AD29" s="68"/>
      <x:c r="AE29" s="68"/>
      <x:c r="AF29" s="68"/>
      <x:c r="AG29" s="68"/>
      <x:c r="AH29" s="36"/>
      <x:c r="AI29" s="36"/>
      <x:c r="AJ29" s="36"/>
      <x:c r="AK29" s="38"/>
      <x:c r="AL29" s="102" t="str">
        <x:f>IFERROR(R29/Q29,"")</x:f>
      </x:c>
      <x:c r="AM29" s="105" t="str">
        <x:f>IF(OR(AL29="",AN29=""),"",IFERROR(AN29/AL29-1,0))</x:f>
      </x:c>
      <x:c r="AN29" s="103" t="str">
        <x:f>IF(AL29="","",AL29)</x:f>
      </x:c>
      <x:c r="AO29" s="105" t="str">
        <x:f>IF(OR(Q29=0,AN29=""),"",IFERROR(AY29/C29,0))</x:f>
      </x:c>
      <x:c r="AP29" s="102" t="str">
        <x:f>IF(Q29=0,"",R29-M29+V29)</x:f>
      </x:c>
      <x:c r="AQ29" s="102" t="str">
        <x:f>IF(OR(AN29="",Q29=0),"",AN29*Q29)</x:f>
      </x:c>
      <x:c r="AR29" s="105" t="str">
        <x:f>IF(OR(R29=0,Q29=0),"",IFERROR(-V29/R29,0))</x:f>
      </x:c>
      <x:c r="AS29" s="102" t="str">
        <x:f>IF(AQ29="","",-AQ29*AR29)</x:f>
      </x:c>
      <x:c r="AT29" s="102" t="str">
        <x:f>IF(OR(AQ29="",R29=0),"",IFERROR(U29/R29*AQ29,0))</x:f>
      </x:c>
      <x:c r="AU29" s="102" t="str">
        <x:f>IF(AQ29="","",AQ29-AT29)</x:f>
      </x:c>
      <x:c r="AV29" s="102" t="str">
        <x:f>IF(AU29="","",AU29*$P$4)</x:f>
      </x:c>
      <x:c r="AW29" s="102" t="str">
        <x:f>IF(AQ29="","",AQ29-AP29+AS29-AV29)</x:f>
      </x:c>
      <x:c r="AX29" s="102" t="str">
        <x:f>IF(OR(AW29="",Q29=0),"",AW29/Q29)</x:f>
      </x:c>
      <x:c r="AY29" s="102" t="str">
        <x:f>IF(AX29="","",AX29-C29)</x:f>
      </x:c>
    </x:row>
    <x:row r="30">
      <x:c r="Q30" s="72"/>
      <x:c r="R30" s="69"/>
      <x:c r="S30" s="69"/>
      <x:c r="T30" s="69"/>
      <x:c r="U30" s="69"/>
      <x:c r="V30" s="69"/>
      <x:c r="W30" s="69"/>
      <x:c r="X30" s="69"/>
      <x:c r="Y30" s="69"/>
      <x:c r="Z30" s="69"/>
      <x:c r="AA30" s="69"/>
      <x:c r="AB30" s="69"/>
      <x:c r="AC30" s="69"/>
      <x:c r="AD30" s="69"/>
      <x:c r="AE30" s="69"/>
      <x:c r="AF30" s="69"/>
      <x:c r="AG30" s="69"/>
      <x:c r="AL30" s="102" t="str">
        <x:f>IFERROR(R30/Q30,"")</x:f>
      </x:c>
      <x:c r="AM30" s="105" t="str">
        <x:f>IF(OR(AL30="",AN30=""),"",IFERROR(AN30/AL30-1,0))</x:f>
      </x:c>
      <x:c r="AN30" s="103" t="str">
        <x:f>IF(AL30="","",AL30)</x:f>
      </x:c>
      <x:c r="AO30" s="105" t="str">
        <x:f>IF(OR(Q30=0,AN30=""),"",IFERROR(AY30/C30,0))</x:f>
      </x:c>
      <x:c r="AP30" s="102" t="str">
        <x:f>IF(Q30=0,"",R30-M30+V30)</x:f>
      </x:c>
      <x:c r="AQ30" s="102" t="str">
        <x:f>IF(OR(AN30="",Q30=0),"",AN30*Q30)</x:f>
      </x:c>
      <x:c r="AR30" s="105" t="str">
        <x:f>IF(OR(R30=0,Q30=0),"",IFERROR(-V30/R30,0))</x:f>
      </x:c>
      <x:c r="AS30" s="102" t="str">
        <x:f>IF(AQ30="","",-AQ30*AR30)</x:f>
      </x:c>
      <x:c r="AT30" s="102" t="str">
        <x:f>IF(OR(AQ30="",R30=0),"",IFERROR(U30/R30*AQ30,0))</x:f>
      </x:c>
      <x:c r="AU30" s="102" t="str">
        <x:f>IF(AQ30="","",AQ30-AT30)</x:f>
      </x:c>
      <x:c r="AV30" s="102" t="str">
        <x:f>IF(AU30="","",AU30*$P$4)</x:f>
      </x:c>
      <x:c r="AW30" s="102" t="str">
        <x:f>IF(AQ30="","",AQ30-AP30+AS30-AV30)</x:f>
      </x:c>
      <x:c r="AX30" s="102" t="str">
        <x:f>IF(OR(AW30="",Q30=0),"",AW30/Q30)</x:f>
      </x:c>
      <x:c r="AY30" s="102" t="str">
        <x:f>IF(AX30="","",AX30-C30)</x:f>
      </x:c>
    </x:row>
    <x:row r="31">
      <x:c r="Q31" s="72"/>
      <x:c r="R31" s="69"/>
      <x:c r="S31" s="69"/>
      <x:c r="T31" s="69"/>
      <x:c r="U31" s="69"/>
      <x:c r="V31" s="69"/>
      <x:c r="W31" s="69"/>
      <x:c r="X31" s="69"/>
      <x:c r="Y31" s="69"/>
      <x:c r="Z31" s="69"/>
      <x:c r="AA31" s="69"/>
      <x:c r="AB31" s="69"/>
      <x:c r="AC31" s="69"/>
      <x:c r="AD31" s="69"/>
      <x:c r="AE31" s="69"/>
      <x:c r="AF31" s="69"/>
      <x:c r="AG31" s="69"/>
      <x:c r="AL31" s="102" t="str">
        <x:f>IFERROR(R31/Q31,"")</x:f>
      </x:c>
      <x:c r="AM31" s="105" t="str">
        <x:f>IF(OR(AL31="",AN31=""),"",IFERROR(AN31/AL31-1,0))</x:f>
      </x:c>
      <x:c r="AN31" s="103" t="str">
        <x:f>IF(AL31="","",AL31)</x:f>
      </x:c>
      <x:c r="AO31" s="105" t="str">
        <x:f>IF(OR(Q31=0,AN31=""),"",IFERROR(AY31/C31,0))</x:f>
      </x:c>
      <x:c r="AP31" s="102" t="str">
        <x:f>IF(Q31=0,"",R31-M31+V31)</x:f>
      </x:c>
      <x:c r="AQ31" s="102" t="str">
        <x:f>IF(OR(AN31="",Q31=0),"",AN31*Q31)</x:f>
      </x:c>
      <x:c r="AR31" s="105" t="str">
        <x:f>IF(OR(R31=0,Q31=0),"",IFERROR(-V31/R31,0))</x:f>
      </x:c>
      <x:c r="AS31" s="102" t="str">
        <x:f>IF(AQ31="","",-AQ31*AR31)</x:f>
      </x:c>
      <x:c r="AT31" s="102" t="str">
        <x:f>IF(OR(AQ31="",R31=0),"",IFERROR(U31/R31*AQ31,0))</x:f>
      </x:c>
      <x:c r="AU31" s="102" t="str">
        <x:f>IF(AQ31="","",AQ31-AT31)</x:f>
      </x:c>
      <x:c r="AV31" s="102" t="str">
        <x:f>IF(AU31="","",AU31*$P$4)</x:f>
      </x:c>
      <x:c r="AW31" s="102" t="str">
        <x:f>IF(AQ31="","",AQ31-AP31+AS31-AV31)</x:f>
      </x:c>
      <x:c r="AX31" s="102" t="str">
        <x:f>IF(OR(AW31="",Q31=0),"",AW31/Q31)</x:f>
      </x:c>
      <x:c r="AY31" s="102" t="str">
        <x:f>IF(AX31="","",AX31-C31)</x:f>
      </x:c>
    </x:row>
    <x:row r="32">
      <x:c r="Q32" s="72"/>
      <x:c r="R32" s="69"/>
      <x:c r="S32" s="69"/>
      <x:c r="T32" s="69"/>
      <x:c r="U32" s="69"/>
      <x:c r="V32" s="69"/>
      <x:c r="W32" s="69"/>
      <x:c r="X32" s="69"/>
      <x:c r="Y32" s="69"/>
      <x:c r="Z32" s="69"/>
      <x:c r="AA32" s="69"/>
      <x:c r="AB32" s="69"/>
      <x:c r="AC32" s="69"/>
      <x:c r="AD32" s="69"/>
      <x:c r="AE32" s="69"/>
      <x:c r="AF32" s="69"/>
      <x:c r="AG32" s="69"/>
      <x:c r="AL32" s="102" t="str">
        <x:f>IFERROR(R32/Q32,"")</x:f>
      </x:c>
      <x:c r="AM32" s="105" t="str">
        <x:f>IF(OR(AL32="",AN32=""),"",IFERROR(AN32/AL32-1,0))</x:f>
      </x:c>
      <x:c r="AN32" s="103" t="str">
        <x:f>IF(AL32="","",AL32)</x:f>
      </x:c>
      <x:c r="AO32" s="105" t="str">
        <x:f>IF(OR(Q32=0,AN32=""),"",IFERROR(AY32/C32,0))</x:f>
      </x:c>
      <x:c r="AP32" s="102" t="str">
        <x:f>IF(Q32=0,"",R32-M32+V32)</x:f>
      </x:c>
      <x:c r="AQ32" s="102" t="str">
        <x:f>IF(OR(AN32="",Q32=0),"",AN32*Q32)</x:f>
      </x:c>
      <x:c r="AR32" s="105" t="str">
        <x:f>IF(OR(R32=0,Q32=0),"",IFERROR(-V32/R32,0))</x:f>
      </x:c>
      <x:c r="AS32" s="102" t="str">
        <x:f>IF(AQ32="","",-AQ32*AR32)</x:f>
      </x:c>
      <x:c r="AT32" s="102" t="str">
        <x:f>IF(OR(AQ32="",R32=0),"",IFERROR(U32/R32*AQ32,0))</x:f>
      </x:c>
      <x:c r="AU32" s="102" t="str">
        <x:f>IF(AQ32="","",AQ32-AT32)</x:f>
      </x:c>
      <x:c r="AV32" s="102" t="str">
        <x:f>IF(AU32="","",AU32*$P$4)</x:f>
      </x:c>
      <x:c r="AW32" s="102" t="str">
        <x:f>IF(AQ32="","",AQ32-AP32+AS32-AV32)</x:f>
      </x:c>
      <x:c r="AX32" s="102" t="str">
        <x:f>IF(OR(AW32="",Q32=0),"",AW32/Q32)</x:f>
      </x:c>
      <x:c r="AY32" s="102" t="str">
        <x:f>IF(AX32="","",AX32-C32)</x:f>
      </x:c>
    </x:row>
    <x:row r="33">
      <x:c r="Q33" s="72"/>
      <x:c r="R33" s="69"/>
      <x:c r="S33" s="69"/>
      <x:c r="T33" s="69"/>
      <x:c r="U33" s="69"/>
      <x:c r="V33" s="69"/>
      <x:c r="W33" s="69"/>
      <x:c r="X33" s="69"/>
      <x:c r="Y33" s="69"/>
      <x:c r="Z33" s="69"/>
      <x:c r="AA33" s="69"/>
      <x:c r="AB33" s="69"/>
      <x:c r="AC33" s="69"/>
      <x:c r="AD33" s="69"/>
      <x:c r="AE33" s="69"/>
      <x:c r="AF33" s="69"/>
      <x:c r="AG33" s="69"/>
      <x:c r="AL33" s="102" t="str">
        <x:f>IFERROR(R33/Q33,"")</x:f>
      </x:c>
      <x:c r="AM33" s="105" t="str">
        <x:f>IF(OR(AL33="",AN33=""),"",IFERROR(AN33/AL33-1,0))</x:f>
      </x:c>
      <x:c r="AN33" s="103" t="str">
        <x:f>IF(AL33="","",AL33)</x:f>
      </x:c>
      <x:c r="AO33" s="105" t="str">
        <x:f>IF(OR(Q33=0,AN33=""),"",IFERROR(AY33/C33,0))</x:f>
      </x:c>
      <x:c r="AP33" s="102" t="str">
        <x:f>IF(Q33=0,"",R33-M33+V33)</x:f>
      </x:c>
      <x:c r="AQ33" s="102" t="str">
        <x:f>IF(OR(AN33="",Q33=0),"",AN33*Q33)</x:f>
      </x:c>
      <x:c r="AR33" s="105" t="str">
        <x:f>IF(OR(R33=0,Q33=0),"",IFERROR(-V33/R33,0))</x:f>
      </x:c>
      <x:c r="AS33" s="102" t="str">
        <x:f>IF(AQ33="","",-AQ33*AR33)</x:f>
      </x:c>
      <x:c r="AT33" s="102" t="str">
        <x:f>IF(OR(AQ33="",R33=0),"",IFERROR(U33/R33*AQ33,0))</x:f>
      </x:c>
      <x:c r="AU33" s="102" t="str">
        <x:f>IF(AQ33="","",AQ33-AT33)</x:f>
      </x:c>
      <x:c r="AV33" s="102" t="str">
        <x:f>IF(AU33="","",AU33*$P$4)</x:f>
      </x:c>
      <x:c r="AW33" s="102" t="str">
        <x:f>IF(AQ33="","",AQ33-AP33+AS33-AV33)</x:f>
      </x:c>
      <x:c r="AX33" s="102" t="str">
        <x:f>IF(OR(AW33="",Q33=0),"",AW33/Q33)</x:f>
      </x:c>
      <x:c r="AY33" s="102" t="str">
        <x:f>IF(AX33="","",AX33-C33)</x:f>
      </x:c>
    </x:row>
    <x:row r="34">
      <x:c r="Q34" s="72"/>
      <x:c r="R34" s="69"/>
      <x:c r="S34" s="69"/>
      <x:c r="T34" s="69"/>
      <x:c r="U34" s="69"/>
      <x:c r="V34" s="69"/>
      <x:c r="W34" s="69"/>
      <x:c r="X34" s="69"/>
      <x:c r="Y34" s="69"/>
      <x:c r="Z34" s="69"/>
      <x:c r="AA34" s="69"/>
      <x:c r="AB34" s="69"/>
      <x:c r="AC34" s="69"/>
      <x:c r="AD34" s="69"/>
      <x:c r="AE34" s="69"/>
      <x:c r="AF34" s="69"/>
      <x:c r="AG34" s="69"/>
      <x:c r="AL34" s="102" t="str">
        <x:f>IFERROR(R34/Q34,"")</x:f>
      </x:c>
      <x:c r="AM34" s="105" t="str">
        <x:f>IF(OR(AL34="",AN34=""),"",IFERROR(AN34/AL34-1,0))</x:f>
      </x:c>
      <x:c r="AN34" s="103" t="str">
        <x:f>IF(AL34="","",AL34)</x:f>
      </x:c>
      <x:c r="AO34" s="105" t="str">
        <x:f>IF(OR(Q34=0,AN34=""),"",IFERROR(AY34/C34,0))</x:f>
      </x:c>
      <x:c r="AP34" s="102" t="str">
        <x:f>IF(Q34=0,"",R34-M34+V34)</x:f>
      </x:c>
      <x:c r="AQ34" s="102" t="str">
        <x:f>IF(OR(AN34="",Q34=0),"",AN34*Q34)</x:f>
      </x:c>
      <x:c r="AR34" s="105" t="str">
        <x:f>IF(OR(R34=0,Q34=0),"",IFERROR(-V34/R34,0))</x:f>
      </x:c>
      <x:c r="AS34" s="102" t="str">
        <x:f>IF(AQ34="","",-AQ34*AR34)</x:f>
      </x:c>
      <x:c r="AT34" s="102" t="str">
        <x:f>IF(OR(AQ34="",R34=0),"",IFERROR(U34/R34*AQ34,0))</x:f>
      </x:c>
      <x:c r="AU34" s="102" t="str">
        <x:f>IF(AQ34="","",AQ34-AT34)</x:f>
      </x:c>
      <x:c r="AV34" s="102" t="str">
        <x:f>IF(AU34="","",AU34*$P$4)</x:f>
      </x:c>
      <x:c r="AW34" s="102" t="str">
        <x:f>IF(AQ34="","",AQ34-AP34+AS34-AV34)</x:f>
      </x:c>
      <x:c r="AX34" s="102" t="str">
        <x:f>IF(OR(AW34="",Q34=0),"",AW34/Q34)</x:f>
      </x:c>
      <x:c r="AY34" s="102" t="str">
        <x:f>IF(AX34="","",AX34-C34)</x:f>
      </x:c>
    </x:row>
    <x:row r="35">
      <x:c r="Q35" s="72"/>
      <x:c r="R35" s="69"/>
      <x:c r="S35" s="69"/>
      <x:c r="T35" s="69"/>
      <x:c r="U35" s="69"/>
      <x:c r="V35" s="69"/>
      <x:c r="W35" s="69"/>
      <x:c r="X35" s="69"/>
      <x:c r="Y35" s="69"/>
      <x:c r="Z35" s="69"/>
      <x:c r="AA35" s="69"/>
      <x:c r="AB35" s="69"/>
      <x:c r="AC35" s="69"/>
      <x:c r="AD35" s="69"/>
      <x:c r="AE35" s="69"/>
      <x:c r="AF35" s="69"/>
      <x:c r="AG35" s="69"/>
      <x:c r="AL35" s="102" t="str">
        <x:f>IFERROR(R35/Q35,"")</x:f>
      </x:c>
      <x:c r="AM35" s="105" t="str">
        <x:f>IF(OR(AL35="",AN35=""),"",IFERROR(AN35/AL35-1,0))</x:f>
      </x:c>
      <x:c r="AN35" s="103" t="str">
        <x:f>IF(AL35="","",AL35)</x:f>
      </x:c>
      <x:c r="AO35" s="105" t="str">
        <x:f>IF(OR(Q35=0,AN35=""),"",IFERROR(AY35/C35,0))</x:f>
      </x:c>
      <x:c r="AP35" s="102" t="str">
        <x:f>IF(Q35=0,"",R35-M35+V35)</x:f>
      </x:c>
      <x:c r="AQ35" s="102" t="str">
        <x:f>IF(OR(AN35="",Q35=0),"",AN35*Q35)</x:f>
      </x:c>
      <x:c r="AR35" s="105" t="str">
        <x:f>IF(OR(R35=0,Q35=0),"",IFERROR(-V35/R35,0))</x:f>
      </x:c>
      <x:c r="AS35" s="102" t="str">
        <x:f>IF(AQ35="","",-AQ35*AR35)</x:f>
      </x:c>
      <x:c r="AT35" s="102" t="str">
        <x:f>IF(OR(AQ35="",R35=0),"",IFERROR(U35/R35*AQ35,0))</x:f>
      </x:c>
      <x:c r="AU35" s="102" t="str">
        <x:f>IF(AQ35="","",AQ35-AT35)</x:f>
      </x:c>
      <x:c r="AV35" s="102" t="str">
        <x:f>IF(AU35="","",AU35*$P$4)</x:f>
      </x:c>
      <x:c r="AW35" s="102" t="str">
        <x:f>IF(AQ35="","",AQ35-AP35+AS35-AV35)</x:f>
      </x:c>
      <x:c r="AX35" s="102" t="str">
        <x:f>IF(OR(AW35="",Q35=0),"",AW35/Q35)</x:f>
      </x:c>
      <x:c r="AY35" s="102" t="str">
        <x:f>IF(AX35="","",AX35-C35)</x:f>
      </x:c>
    </x:row>
    <x:row r="36">
      <x:c r="Q36" s="72"/>
      <x:c r="R36" s="69"/>
      <x:c r="S36" s="69"/>
      <x:c r="T36" s="69"/>
      <x:c r="U36" s="69"/>
      <x:c r="V36" s="69"/>
      <x:c r="W36" s="69"/>
      <x:c r="X36" s="69"/>
      <x:c r="Y36" s="69"/>
      <x:c r="Z36" s="69"/>
      <x:c r="AA36" s="69"/>
      <x:c r="AB36" s="69"/>
      <x:c r="AC36" s="69"/>
      <x:c r="AD36" s="69"/>
      <x:c r="AE36" s="69"/>
      <x:c r="AF36" s="69"/>
      <x:c r="AG36" s="69"/>
      <x:c r="AL36" s="102" t="str">
        <x:f>IFERROR(R36/Q36,"")</x:f>
      </x:c>
      <x:c r="AM36" s="105" t="str">
        <x:f>IF(OR(AL36="",AN36=""),"",IFERROR(AN36/AL36-1,0))</x:f>
      </x:c>
      <x:c r="AN36" s="103" t="str">
        <x:f>IF(AL36="","",AL36)</x:f>
      </x:c>
      <x:c r="AO36" s="105" t="str">
        <x:f>IF(OR(Q36=0,AN36=""),"",IFERROR(AY36/C36,0))</x:f>
      </x:c>
      <x:c r="AP36" s="102" t="str">
        <x:f>IF(Q36=0,"",R36-M36+V36)</x:f>
      </x:c>
      <x:c r="AQ36" s="102" t="str">
        <x:f>IF(OR(AN36="",Q36=0),"",AN36*Q36)</x:f>
      </x:c>
      <x:c r="AR36" s="105" t="str">
        <x:f>IF(OR(R36=0,Q36=0),"",IFERROR(-V36/R36,0))</x:f>
      </x:c>
      <x:c r="AS36" s="102" t="str">
        <x:f>IF(AQ36="","",-AQ36*AR36)</x:f>
      </x:c>
      <x:c r="AT36" s="102" t="str">
        <x:f>IF(OR(AQ36="",R36=0),"",IFERROR(U36/R36*AQ36,0))</x:f>
      </x:c>
      <x:c r="AU36" s="102" t="str">
        <x:f>IF(AQ36="","",AQ36-AT36)</x:f>
      </x:c>
      <x:c r="AV36" s="102" t="str">
        <x:f>IF(AU36="","",AU36*$P$4)</x:f>
      </x:c>
      <x:c r="AW36" s="102" t="str">
        <x:f>IF(AQ36="","",AQ36-AP36+AS36-AV36)</x:f>
      </x:c>
      <x:c r="AX36" s="102" t="str">
        <x:f>IF(OR(AW36="",Q36=0),"",AW36/Q36)</x:f>
      </x:c>
      <x:c r="AY36" s="102" t="str">
        <x:f>IF(AX36="","",AX36-C36)</x:f>
      </x:c>
    </x:row>
    <x:row r="37">
      <x:c r="Q37" s="72"/>
      <x:c r="R37" s="69"/>
      <x:c r="S37" s="69"/>
      <x:c r="T37" s="69"/>
      <x:c r="U37" s="69"/>
      <x:c r="V37" s="69"/>
      <x:c r="W37" s="69"/>
      <x:c r="X37" s="69"/>
      <x:c r="Y37" s="69"/>
      <x:c r="Z37" s="69"/>
      <x:c r="AA37" s="69"/>
      <x:c r="AB37" s="69"/>
      <x:c r="AC37" s="69"/>
      <x:c r="AD37" s="69"/>
      <x:c r="AE37" s="69"/>
      <x:c r="AF37" s="69"/>
      <x:c r="AG37" s="69"/>
      <x:c r="AL37" s="102" t="str">
        <x:f>IFERROR(R37/Q37,"")</x:f>
      </x:c>
      <x:c r="AM37" s="105" t="str">
        <x:f>IF(OR(AL37="",AN37=""),"",IFERROR(AN37/AL37-1,0))</x:f>
      </x:c>
      <x:c r="AN37" s="103" t="str">
        <x:f>IF(AL37="","",AL37)</x:f>
      </x:c>
      <x:c r="AO37" s="105" t="str">
        <x:f>IF(OR(Q37=0,AN37=""),"",IFERROR(AY37/C37,0))</x:f>
      </x:c>
      <x:c r="AP37" s="102" t="str">
        <x:f>IF(Q37=0,"",R37-M37+V37)</x:f>
      </x:c>
      <x:c r="AQ37" s="102" t="str">
        <x:f>IF(OR(AN37="",Q37=0),"",AN37*Q37)</x:f>
      </x:c>
      <x:c r="AR37" s="105" t="str">
        <x:f>IF(OR(R37=0,Q37=0),"",IFERROR(-V37/R37,0))</x:f>
      </x:c>
      <x:c r="AS37" s="102" t="str">
        <x:f>IF(AQ37="","",-AQ37*AR37)</x:f>
      </x:c>
      <x:c r="AT37" s="102" t="str">
        <x:f>IF(OR(AQ37="",R37=0),"",IFERROR(U37/R37*AQ37,0))</x:f>
      </x:c>
      <x:c r="AU37" s="102" t="str">
        <x:f>IF(AQ37="","",AQ37-AT37)</x:f>
      </x:c>
      <x:c r="AV37" s="102" t="str">
        <x:f>IF(AU37="","",AU37*$P$4)</x:f>
      </x:c>
      <x:c r="AW37" s="102" t="str">
        <x:f>IF(AQ37="","",AQ37-AP37+AS37-AV37)</x:f>
      </x:c>
      <x:c r="AX37" s="102" t="str">
        <x:f>IF(OR(AW37="",Q37=0),"",AW37/Q37)</x:f>
      </x:c>
      <x:c r="AY37" s="102" t="str">
        <x:f>IF(AX37="","",AX37-C37)</x:f>
      </x:c>
    </x:row>
    <x:row r="38">
      <x:c r="Q38" s="72"/>
      <x:c r="R38" s="69"/>
      <x:c r="S38" s="69"/>
      <x:c r="T38" s="69"/>
      <x:c r="U38" s="69"/>
      <x:c r="V38" s="69"/>
      <x:c r="W38" s="69"/>
      <x:c r="X38" s="69"/>
      <x:c r="Y38" s="69"/>
      <x:c r="Z38" s="69"/>
      <x:c r="AA38" s="69"/>
      <x:c r="AB38" s="69"/>
      <x:c r="AC38" s="69"/>
      <x:c r="AD38" s="69"/>
      <x:c r="AE38" s="69"/>
      <x:c r="AF38" s="69"/>
      <x:c r="AG38" s="69"/>
      <x:c r="AL38" s="102" t="str">
        <x:f>IFERROR(R38/Q38,"")</x:f>
      </x:c>
      <x:c r="AM38" s="105" t="str">
        <x:f>IF(OR(AL38="",AN38=""),"",IFERROR(AN38/AL38-1,0))</x:f>
      </x:c>
      <x:c r="AN38" s="103" t="str">
        <x:f>IF(AL38="","",AL38)</x:f>
      </x:c>
      <x:c r="AO38" s="105" t="str">
        <x:f>IF(OR(Q38=0,AN38=""),"",IFERROR(AY38/C38,0))</x:f>
      </x:c>
      <x:c r="AP38" s="102" t="str">
        <x:f>IF(Q38=0,"",R38-M38+V38)</x:f>
      </x:c>
      <x:c r="AQ38" s="102" t="str">
        <x:f>IF(OR(AN38="",Q38=0),"",AN38*Q38)</x:f>
      </x:c>
      <x:c r="AR38" s="105" t="str">
        <x:f>IF(OR(R38=0,Q38=0),"",IFERROR(-V38/R38,0))</x:f>
      </x:c>
      <x:c r="AS38" s="102" t="str">
        <x:f>IF(AQ38="","",-AQ38*AR38)</x:f>
      </x:c>
      <x:c r="AT38" s="102" t="str">
        <x:f>IF(OR(AQ38="",R38=0),"",IFERROR(U38/R38*AQ38,0))</x:f>
      </x:c>
      <x:c r="AU38" s="102" t="str">
        <x:f>IF(AQ38="","",AQ38-AT38)</x:f>
      </x:c>
      <x:c r="AV38" s="102" t="str">
        <x:f>IF(AU38="","",AU38*$P$4)</x:f>
      </x:c>
      <x:c r="AW38" s="102" t="str">
        <x:f>IF(AQ38="","",AQ38-AP38+AS38-AV38)</x:f>
      </x:c>
      <x:c r="AX38" s="102" t="str">
        <x:f>IF(OR(AW38="",Q38=0),"",AW38/Q38)</x:f>
      </x:c>
      <x:c r="AY38" s="102" t="str">
        <x:f>IF(AX38="","",AX38-C38)</x:f>
      </x:c>
    </x:row>
    <x:row r="39">
      <x:c r="Q39" s="72"/>
      <x:c r="R39" s="69"/>
      <x:c r="S39" s="69"/>
      <x:c r="T39" s="69"/>
      <x:c r="U39" s="69"/>
      <x:c r="V39" s="69"/>
      <x:c r="W39" s="69"/>
      <x:c r="X39" s="69"/>
      <x:c r="Y39" s="69"/>
      <x:c r="Z39" s="69"/>
      <x:c r="AA39" s="69"/>
      <x:c r="AB39" s="69"/>
      <x:c r="AC39" s="69"/>
      <x:c r="AD39" s="69"/>
      <x:c r="AE39" s="69"/>
      <x:c r="AF39" s="69"/>
      <x:c r="AG39" s="69"/>
      <x:c r="AL39" s="102" t="str">
        <x:f>IFERROR(R39/Q39,"")</x:f>
      </x:c>
      <x:c r="AM39" s="105" t="str">
        <x:f>IF(OR(AL39="",AN39=""),"",IFERROR(AN39/AL39-1,0))</x:f>
      </x:c>
      <x:c r="AN39" s="103" t="str">
        <x:f>IF(AL39="","",AL39)</x:f>
      </x:c>
      <x:c r="AO39" s="105" t="str">
        <x:f>IF(OR(Q39=0,AN39=""),"",IFERROR(AY39/C39,0))</x:f>
      </x:c>
      <x:c r="AP39" s="102" t="str">
        <x:f>IF(Q39=0,"",R39-M39+V39)</x:f>
      </x:c>
      <x:c r="AQ39" s="102" t="str">
        <x:f>IF(OR(AN39="",Q39=0),"",AN39*Q39)</x:f>
      </x:c>
      <x:c r="AR39" s="105" t="str">
        <x:f>IF(OR(R39=0,Q39=0),"",IFERROR(-V39/R39,0))</x:f>
      </x:c>
      <x:c r="AS39" s="102" t="str">
        <x:f>IF(AQ39="","",-AQ39*AR39)</x:f>
      </x:c>
      <x:c r="AT39" s="102" t="str">
        <x:f>IF(OR(AQ39="",R39=0),"",IFERROR(U39/R39*AQ39,0))</x:f>
      </x:c>
      <x:c r="AU39" s="102" t="str">
        <x:f>IF(AQ39="","",AQ39-AT39)</x:f>
      </x:c>
      <x:c r="AV39" s="102" t="str">
        <x:f>IF(AU39="","",AU39*$P$4)</x:f>
      </x:c>
      <x:c r="AW39" s="102" t="str">
        <x:f>IF(AQ39="","",AQ39-AP39+AS39-AV39)</x:f>
      </x:c>
      <x:c r="AX39" s="102" t="str">
        <x:f>IF(OR(AW39="",Q39=0),"",AW39/Q39)</x:f>
      </x:c>
      <x:c r="AY39" s="102" t="str">
        <x:f>IF(AX39="","",AX39-C39)</x:f>
      </x:c>
    </x:row>
    <x:row r="40">
      <x:c r="Q40" s="72"/>
      <x:c r="R40" s="69"/>
      <x:c r="S40" s="69"/>
      <x:c r="T40" s="69"/>
      <x:c r="U40" s="69"/>
      <x:c r="V40" s="69"/>
      <x:c r="W40" s="69"/>
      <x:c r="X40" s="69"/>
      <x:c r="Y40" s="69"/>
      <x:c r="Z40" s="69"/>
      <x:c r="AA40" s="69"/>
      <x:c r="AB40" s="69"/>
      <x:c r="AC40" s="69"/>
      <x:c r="AD40" s="69"/>
      <x:c r="AE40" s="69"/>
      <x:c r="AF40" s="69"/>
      <x:c r="AG40" s="69"/>
      <x:c r="AL40" s="102" t="str">
        <x:f>IFERROR(R40/Q40,"")</x:f>
      </x:c>
      <x:c r="AM40" s="105" t="str">
        <x:f>IF(OR(AL40="",AN40=""),"",IFERROR(AN40/AL40-1,0))</x:f>
      </x:c>
      <x:c r="AN40" s="103" t="str">
        <x:f>IF(AL40="","",AL40)</x:f>
      </x:c>
      <x:c r="AO40" s="105" t="str">
        <x:f>IF(OR(Q40=0,AN40=""),"",IFERROR(AY40/C40,0))</x:f>
      </x:c>
      <x:c r="AP40" s="102" t="str">
        <x:f>IF(Q40=0,"",R40-M40+V40)</x:f>
      </x:c>
      <x:c r="AQ40" s="102" t="str">
        <x:f>IF(OR(AN40="",Q40=0),"",AN40*Q40)</x:f>
      </x:c>
      <x:c r="AR40" s="105" t="str">
        <x:f>IF(OR(R40=0,Q40=0),"",IFERROR(-V40/R40,0))</x:f>
      </x:c>
      <x:c r="AS40" s="102" t="str">
        <x:f>IF(AQ40="","",-AQ40*AR40)</x:f>
      </x:c>
      <x:c r="AT40" s="102" t="str">
        <x:f>IF(OR(AQ40="",R40=0),"",IFERROR(U40/R40*AQ40,0))</x:f>
      </x:c>
      <x:c r="AU40" s="102" t="str">
        <x:f>IF(AQ40="","",AQ40-AT40)</x:f>
      </x:c>
      <x:c r="AV40" s="102" t="str">
        <x:f>IF(AU40="","",AU40*$P$4)</x:f>
      </x:c>
      <x:c r="AW40" s="102" t="str">
        <x:f>IF(AQ40="","",AQ40-AP40+AS40-AV40)</x:f>
      </x:c>
      <x:c r="AX40" s="102" t="str">
        <x:f>IF(OR(AW40="",Q40=0),"",AW40/Q40)</x:f>
      </x:c>
      <x:c r="AY40" s="102" t="str">
        <x:f>IF(AX40="","",AX40-C40)</x:f>
      </x:c>
    </x:row>
    <x:row r="41">
      <x:c r="Q41" s="72"/>
      <x:c r="R41" s="69"/>
      <x:c r="S41" s="69"/>
      <x:c r="T41" s="69"/>
      <x:c r="U41" s="69"/>
      <x:c r="V41" s="69"/>
      <x:c r="W41" s="69"/>
      <x:c r="X41" s="69"/>
      <x:c r="Y41" s="69"/>
      <x:c r="Z41" s="69"/>
      <x:c r="AA41" s="69"/>
      <x:c r="AB41" s="69"/>
      <x:c r="AC41" s="69"/>
      <x:c r="AD41" s="69"/>
      <x:c r="AE41" s="69"/>
      <x:c r="AF41" s="69"/>
      <x:c r="AG41" s="69"/>
      <x:c r="AL41" s="102" t="str">
        <x:f>IFERROR(R41/Q41,"")</x:f>
      </x:c>
      <x:c r="AM41" s="105" t="str">
        <x:f>IF(OR(AL41="",AN41=""),"",IFERROR(AN41/AL41-1,0))</x:f>
      </x:c>
      <x:c r="AN41" s="103" t="str">
        <x:f>IF(AL41="","",AL41)</x:f>
      </x:c>
      <x:c r="AO41" s="105" t="str">
        <x:f>IF(OR(Q41=0,AN41=""),"",IFERROR(AY41/C41,0))</x:f>
      </x:c>
      <x:c r="AP41" s="102" t="str">
        <x:f>IF(Q41=0,"",R41-M41+V41)</x:f>
      </x:c>
      <x:c r="AQ41" s="102" t="str">
        <x:f>IF(OR(AN41="",Q41=0),"",AN41*Q41)</x:f>
      </x:c>
      <x:c r="AR41" s="105" t="str">
        <x:f>IF(OR(R41=0,Q41=0),"",IFERROR(-V41/R41,0))</x:f>
      </x:c>
      <x:c r="AS41" s="102" t="str">
        <x:f>IF(AQ41="","",-AQ41*AR41)</x:f>
      </x:c>
      <x:c r="AT41" s="102" t="str">
        <x:f>IF(OR(AQ41="",R41=0),"",IFERROR(U41/R41*AQ41,0))</x:f>
      </x:c>
      <x:c r="AU41" s="102" t="str">
        <x:f>IF(AQ41="","",AQ41-AT41)</x:f>
      </x:c>
      <x:c r="AV41" s="102" t="str">
        <x:f>IF(AU41="","",AU41*$P$4)</x:f>
      </x:c>
      <x:c r="AW41" s="102" t="str">
        <x:f>IF(AQ41="","",AQ41-AP41+AS41-AV41)</x:f>
      </x:c>
      <x:c r="AX41" s="102" t="str">
        <x:f>IF(OR(AW41="",Q41=0),"",AW41/Q41)</x:f>
      </x:c>
      <x:c r="AY41" s="102" t="str">
        <x:f>IF(AX41="","",AX41-C41)</x:f>
      </x:c>
    </x:row>
    <x:row r="42">
      <x:c r="Q42" s="72"/>
      <x:c r="R42" s="69"/>
      <x:c r="S42" s="69"/>
      <x:c r="T42" s="69"/>
      <x:c r="U42" s="69"/>
      <x:c r="V42" s="69"/>
      <x:c r="W42" s="69"/>
      <x:c r="X42" s="69"/>
      <x:c r="Y42" s="69"/>
      <x:c r="Z42" s="69"/>
      <x:c r="AA42" s="69"/>
      <x:c r="AB42" s="69"/>
      <x:c r="AC42" s="69"/>
      <x:c r="AD42" s="69"/>
      <x:c r="AE42" s="69"/>
      <x:c r="AF42" s="69"/>
      <x:c r="AG42" s="69"/>
      <x:c r="AL42" s="102" t="str">
        <x:f>IFERROR(R42/Q42,"")</x:f>
      </x:c>
      <x:c r="AM42" s="105" t="str">
        <x:f>IF(OR(AL42="",AN42=""),"",IFERROR(AN42/AL42-1,0))</x:f>
      </x:c>
      <x:c r="AN42" s="103" t="str">
        <x:f>IF(AL42="","",AL42)</x:f>
      </x:c>
      <x:c r="AO42" s="105" t="str">
        <x:f>IF(OR(Q42=0,AN42=""),"",IFERROR(AY42/C42,0))</x:f>
      </x:c>
      <x:c r="AP42" s="102" t="str">
        <x:f>IF(Q42=0,"",R42-M42+V42)</x:f>
      </x:c>
      <x:c r="AQ42" s="102" t="str">
        <x:f>IF(OR(AN42="",Q42=0),"",AN42*Q42)</x:f>
      </x:c>
      <x:c r="AR42" s="105" t="str">
        <x:f>IF(OR(R42=0,Q42=0),"",IFERROR(-V42/R42,0))</x:f>
      </x:c>
      <x:c r="AS42" s="102" t="str">
        <x:f>IF(AQ42="","",-AQ42*AR42)</x:f>
      </x:c>
      <x:c r="AT42" s="102" t="str">
        <x:f>IF(OR(AQ42="",R42=0),"",IFERROR(U42/R42*AQ42,0))</x:f>
      </x:c>
      <x:c r="AU42" s="102" t="str">
        <x:f>IF(AQ42="","",AQ42-AT42)</x:f>
      </x:c>
      <x:c r="AV42" s="102" t="str">
        <x:f>IF(AU42="","",AU42*$P$4)</x:f>
      </x:c>
      <x:c r="AW42" s="102" t="str">
        <x:f>IF(AQ42="","",AQ42-AP42+AS42-AV42)</x:f>
      </x:c>
      <x:c r="AX42" s="102" t="str">
        <x:f>IF(OR(AW42="",Q42=0),"",AW42/Q42)</x:f>
      </x:c>
      <x:c r="AY42" s="102" t="str">
        <x:f>IF(AX42="","",AX42-C42)</x:f>
      </x:c>
    </x:row>
    <x:row r="43">
      <x:c r="Q43" s="72"/>
      <x:c r="R43" s="69"/>
      <x:c r="S43" s="69"/>
      <x:c r="T43" s="69"/>
      <x:c r="U43" s="69"/>
      <x:c r="V43" s="69"/>
      <x:c r="W43" s="69"/>
      <x:c r="X43" s="69"/>
      <x:c r="Y43" s="69"/>
      <x:c r="Z43" s="69"/>
      <x:c r="AA43" s="69"/>
      <x:c r="AB43" s="69"/>
      <x:c r="AC43" s="69"/>
      <x:c r="AD43" s="69"/>
      <x:c r="AE43" s="69"/>
      <x:c r="AF43" s="69"/>
      <x:c r="AG43" s="69"/>
      <x:c r="AL43" s="102" t="str">
        <x:f>IFERROR(R43/Q43,"")</x:f>
      </x:c>
      <x:c r="AM43" s="105" t="str">
        <x:f>IF(OR(AL43="",AN43=""),"",IFERROR(AN43/AL43-1,0))</x:f>
      </x:c>
      <x:c r="AN43" s="103" t="str">
        <x:f>IF(AL43="","",AL43)</x:f>
      </x:c>
      <x:c r="AO43" s="105" t="str">
        <x:f>IF(OR(Q43=0,AN43=""),"",IFERROR(AY43/C43,0))</x:f>
      </x:c>
      <x:c r="AP43" s="102" t="str">
        <x:f>IF(Q43=0,"",R43-M43+V43)</x:f>
      </x:c>
      <x:c r="AQ43" s="102" t="str">
        <x:f>IF(OR(AN43="",Q43=0),"",AN43*Q43)</x:f>
      </x:c>
      <x:c r="AR43" s="105" t="str">
        <x:f>IF(OR(R43=0,Q43=0),"",IFERROR(-V43/R43,0))</x:f>
      </x:c>
      <x:c r="AS43" s="102" t="str">
        <x:f>IF(AQ43="","",-AQ43*AR43)</x:f>
      </x:c>
      <x:c r="AT43" s="102" t="str">
        <x:f>IF(OR(AQ43="",R43=0),"",IFERROR(U43/R43*AQ43,0))</x:f>
      </x:c>
      <x:c r="AU43" s="102" t="str">
        <x:f>IF(AQ43="","",AQ43-AT43)</x:f>
      </x:c>
      <x:c r="AV43" s="102" t="str">
        <x:f>IF(AU43="","",AU43*$P$4)</x:f>
      </x:c>
      <x:c r="AW43" s="102" t="str">
        <x:f>IF(AQ43="","",AQ43-AP43+AS43-AV43)</x:f>
      </x:c>
      <x:c r="AX43" s="102" t="str">
        <x:f>IF(OR(AW43="",Q43=0),"",AW43/Q43)</x:f>
      </x:c>
      <x:c r="AY43" s="102" t="str">
        <x:f>IF(AX43="","",AX43-C43)</x:f>
      </x:c>
    </x:row>
    <x:row r="44">
      <x:c r="Q44" s="72"/>
      <x:c r="R44" s="69"/>
      <x:c r="S44" s="69"/>
      <x:c r="T44" s="69"/>
      <x:c r="U44" s="69"/>
      <x:c r="V44" s="69"/>
      <x:c r="W44" s="69"/>
      <x:c r="X44" s="69"/>
      <x:c r="Y44" s="69"/>
      <x:c r="Z44" s="69"/>
      <x:c r="AA44" s="69"/>
      <x:c r="AB44" s="69"/>
      <x:c r="AC44" s="69"/>
      <x:c r="AD44" s="69"/>
      <x:c r="AE44" s="69"/>
      <x:c r="AF44" s="69"/>
      <x:c r="AG44" s="69"/>
    </x:row>
    <x:row r="45">
      <x:c r="Q45" s="72"/>
      <x:c r="R45" s="69"/>
      <x:c r="S45" s="69"/>
      <x:c r="T45" s="69"/>
      <x:c r="U45" s="69"/>
      <x:c r="V45" s="69"/>
      <x:c r="W45" s="69"/>
      <x:c r="X45" s="69"/>
      <x:c r="Y45" s="69"/>
      <x:c r="Z45" s="69"/>
      <x:c r="AA45" s="69"/>
      <x:c r="AB45" s="69"/>
      <x:c r="AC45" s="69"/>
      <x:c r="AD45" s="69"/>
      <x:c r="AE45" s="69"/>
      <x:c r="AF45" s="69"/>
      <x:c r="AG45" s="69"/>
    </x:row>
    <x:row r="46">
      <x:c r="Q46" s="72"/>
      <x:c r="R46" s="69"/>
      <x:c r="S46" s="69"/>
      <x:c r="T46" s="69"/>
      <x:c r="U46" s="69"/>
      <x:c r="V46" s="69"/>
      <x:c r="W46" s="69"/>
      <x:c r="X46" s="69"/>
      <x:c r="Y46" s="69"/>
      <x:c r="Z46" s="69"/>
      <x:c r="AA46" s="69"/>
      <x:c r="AB46" s="69"/>
      <x:c r="AC46" s="69"/>
      <x:c r="AD46" s="69"/>
      <x:c r="AE46" s="69"/>
      <x:c r="AF46" s="69"/>
      <x:c r="AG46" s="69"/>
    </x:row>
    <x:row r="47">
      <x:c r="Q47" s="72"/>
      <x:c r="R47" s="69"/>
      <x:c r="S47" s="69"/>
      <x:c r="T47" s="69"/>
      <x:c r="U47" s="69"/>
      <x:c r="V47" s="69"/>
      <x:c r="W47" s="69"/>
      <x:c r="X47" s="69"/>
      <x:c r="Y47" s="69"/>
      <x:c r="Z47" s="69"/>
      <x:c r="AA47" s="69"/>
      <x:c r="AB47" s="69"/>
      <x:c r="AC47" s="69"/>
      <x:c r="AD47" s="69"/>
      <x:c r="AE47" s="69"/>
      <x:c r="AF47" s="69"/>
      <x:c r="AG47" s="69"/>
    </x:row>
    <x:row r="48">
      <x:c r="Q48" s="72"/>
      <x:c r="R48" s="69"/>
      <x:c r="S48" s="69"/>
      <x:c r="T48" s="69"/>
      <x:c r="U48" s="69"/>
      <x:c r="V48" s="69"/>
      <x:c r="W48" s="69"/>
      <x:c r="X48" s="69"/>
      <x:c r="Y48" s="69"/>
      <x:c r="Z48" s="69"/>
      <x:c r="AA48" s="69"/>
      <x:c r="AB48" s="69"/>
      <x:c r="AC48" s="69"/>
      <x:c r="AD48" s="69"/>
      <x:c r="AE48" s="69"/>
      <x:c r="AF48" s="69"/>
      <x:c r="AG48" s="69"/>
    </x:row>
    <x:row r="49">
      <x:c r="Q49" s="72"/>
      <x:c r="R49" s="69"/>
      <x:c r="S49" s="69"/>
      <x:c r="T49" s="69"/>
      <x:c r="U49" s="69"/>
      <x:c r="V49" s="69"/>
      <x:c r="W49" s="69"/>
      <x:c r="X49" s="69"/>
      <x:c r="Y49" s="69"/>
      <x:c r="Z49" s="69"/>
      <x:c r="AA49" s="69"/>
      <x:c r="AB49" s="69"/>
      <x:c r="AC49" s="69"/>
      <x:c r="AD49" s="69"/>
      <x:c r="AE49" s="69"/>
      <x:c r="AF49" s="69"/>
      <x:c r="AG49" s="69"/>
    </x:row>
    <x:row r="50">
      <x:c r="Q50" s="72"/>
      <x:c r="R50" s="69"/>
      <x:c r="S50" s="69"/>
      <x:c r="T50" s="69"/>
      <x:c r="U50" s="69"/>
      <x:c r="V50" s="69"/>
      <x:c r="W50" s="69"/>
      <x:c r="X50" s="69"/>
      <x:c r="Y50" s="69"/>
      <x:c r="Z50" s="69"/>
      <x:c r="AA50" s="69"/>
      <x:c r="AB50" s="69"/>
      <x:c r="AC50" s="69"/>
      <x:c r="AD50" s="69"/>
      <x:c r="AE50" s="69"/>
      <x:c r="AF50" s="69"/>
      <x:c r="AG50" s="69"/>
    </x:row>
    <x:row r="51">
      <x:c r="Q51" s="72"/>
      <x:c r="R51" s="69"/>
      <x:c r="S51" s="69"/>
      <x:c r="T51" s="69"/>
      <x:c r="U51" s="69"/>
      <x:c r="V51" s="69"/>
      <x:c r="W51" s="69"/>
      <x:c r="X51" s="69"/>
      <x:c r="Y51" s="69"/>
      <x:c r="Z51" s="69"/>
      <x:c r="AA51" s="69"/>
      <x:c r="AB51" s="69"/>
      <x:c r="AC51" s="69"/>
      <x:c r="AD51" s="69"/>
      <x:c r="AE51" s="69"/>
      <x:c r="AF51" s="69"/>
      <x:c r="AG51" s="69"/>
    </x:row>
    <x:row r="52">
      <x:c r="Q52" s="72"/>
      <x:c r="R52" s="69"/>
      <x:c r="S52" s="69"/>
      <x:c r="T52" s="69"/>
      <x:c r="U52" s="69"/>
      <x:c r="V52" s="69"/>
      <x:c r="W52" s="69"/>
      <x:c r="X52" s="69"/>
      <x:c r="Y52" s="69"/>
      <x:c r="Z52" s="69"/>
      <x:c r="AA52" s="69"/>
      <x:c r="AB52" s="69"/>
      <x:c r="AC52" s="69"/>
      <x:c r="AD52" s="69"/>
      <x:c r="AE52" s="69"/>
      <x:c r="AF52" s="69"/>
      <x:c r="AG52" s="69"/>
    </x:row>
    <x:row r="53">
      <x:c r="Q53" s="72"/>
      <x:c r="R53" s="69"/>
      <x:c r="S53" s="69"/>
      <x:c r="T53" s="69"/>
      <x:c r="U53" s="69"/>
      <x:c r="V53" s="69"/>
      <x:c r="W53" s="69"/>
      <x:c r="X53" s="69"/>
      <x:c r="Y53" s="69"/>
      <x:c r="Z53" s="69"/>
      <x:c r="AA53" s="69"/>
      <x:c r="AB53" s="69"/>
      <x:c r="AC53" s="69"/>
      <x:c r="AD53" s="69"/>
      <x:c r="AE53" s="69"/>
      <x:c r="AF53" s="69"/>
      <x:c r="AG53" s="69"/>
    </x:row>
    <x:row r="54">
      <x:c r="Q54" s="72"/>
      <x:c r="R54" s="69"/>
      <x:c r="S54" s="69"/>
      <x:c r="T54" s="69"/>
      <x:c r="U54" s="69"/>
      <x:c r="V54" s="69"/>
      <x:c r="W54" s="69"/>
      <x:c r="X54" s="69"/>
      <x:c r="Y54" s="69"/>
      <x:c r="Z54" s="69"/>
      <x:c r="AA54" s="69"/>
      <x:c r="AB54" s="69"/>
      <x:c r="AC54" s="69"/>
      <x:c r="AD54" s="69"/>
      <x:c r="AE54" s="69"/>
      <x:c r="AF54" s="69"/>
      <x:c r="AG54" s="69"/>
    </x:row>
    <x:row r="55">
      <x:c r="Q55" s="72"/>
      <x:c r="R55" s="69"/>
      <x:c r="S55" s="69"/>
      <x:c r="T55" s="69"/>
      <x:c r="U55" s="69"/>
      <x:c r="V55" s="69"/>
      <x:c r="W55" s="69"/>
      <x:c r="X55" s="69"/>
      <x:c r="Y55" s="69"/>
      <x:c r="Z55" s="69"/>
      <x:c r="AA55" s="69"/>
      <x:c r="AB55" s="69"/>
      <x:c r="AC55" s="69"/>
      <x:c r="AD55" s="69"/>
      <x:c r="AE55" s="69"/>
      <x:c r="AF55" s="69"/>
      <x:c r="AG55" s="69"/>
    </x:row>
    <x:row r="56">
      <x:c r="Q56" s="72"/>
      <x:c r="R56" s="69"/>
      <x:c r="S56" s="69"/>
      <x:c r="T56" s="69"/>
      <x:c r="U56" s="69"/>
      <x:c r="V56" s="69"/>
      <x:c r="W56" s="69"/>
      <x:c r="X56" s="69"/>
      <x:c r="Y56" s="69"/>
      <x:c r="Z56" s="69"/>
      <x:c r="AA56" s="69"/>
      <x:c r="AB56" s="69"/>
      <x:c r="AC56" s="69"/>
      <x:c r="AD56" s="69"/>
      <x:c r="AE56" s="69"/>
      <x:c r="AF56" s="69"/>
      <x:c r="AG56" s="69"/>
    </x:row>
    <x:row r="57">
      <x:c r="Q57" s="72"/>
      <x:c r="R57" s="69"/>
      <x:c r="S57" s="69"/>
      <x:c r="T57" s="69"/>
      <x:c r="U57" s="69"/>
      <x:c r="V57" s="69"/>
      <x:c r="W57" s="69"/>
      <x:c r="X57" s="69"/>
      <x:c r="Y57" s="69"/>
      <x:c r="Z57" s="69"/>
      <x:c r="AA57" s="69"/>
      <x:c r="AB57" s="69"/>
      <x:c r="AC57" s="69"/>
      <x:c r="AD57" s="69"/>
      <x:c r="AE57" s="69"/>
      <x:c r="AF57" s="69"/>
      <x:c r="AG57" s="69"/>
    </x:row>
    <x:row r="58">
      <x:c r="Q58" s="72"/>
      <x:c r="R58" s="69"/>
      <x:c r="S58" s="69"/>
      <x:c r="T58" s="69"/>
      <x:c r="U58" s="69"/>
      <x:c r="V58" s="69"/>
      <x:c r="W58" s="69"/>
      <x:c r="X58" s="69"/>
      <x:c r="Y58" s="69"/>
      <x:c r="Z58" s="69"/>
      <x:c r="AA58" s="69"/>
      <x:c r="AB58" s="69"/>
      <x:c r="AC58" s="69"/>
      <x:c r="AD58" s="69"/>
      <x:c r="AE58" s="69"/>
      <x:c r="AF58" s="69"/>
      <x:c r="AG58" s="69"/>
    </x:row>
    <x:row r="59">
      <x:c r="Q59" s="72"/>
      <x:c r="R59" s="69"/>
      <x:c r="S59" s="69"/>
      <x:c r="T59" s="69"/>
      <x:c r="U59" s="69"/>
      <x:c r="V59" s="69"/>
      <x:c r="W59" s="69"/>
      <x:c r="X59" s="69"/>
      <x:c r="Y59" s="69"/>
      <x:c r="Z59" s="69"/>
      <x:c r="AA59" s="69"/>
      <x:c r="AB59" s="69"/>
      <x:c r="AC59" s="69"/>
      <x:c r="AD59" s="69"/>
      <x:c r="AE59" s="69"/>
      <x:c r="AF59" s="69"/>
      <x:c r="AG59" s="69"/>
    </x:row>
    <x:row r="60">
      <x:c r="Q60" s="72"/>
      <x:c r="R60" s="69"/>
      <x:c r="S60" s="69"/>
      <x:c r="T60" s="69"/>
      <x:c r="U60" s="69"/>
      <x:c r="V60" s="69"/>
      <x:c r="W60" s="69"/>
      <x:c r="X60" s="69"/>
      <x:c r="Y60" s="69"/>
      <x:c r="Z60" s="69"/>
      <x:c r="AA60" s="69"/>
      <x:c r="AB60" s="69"/>
      <x:c r="AC60" s="69"/>
      <x:c r="AD60" s="69"/>
      <x:c r="AE60" s="69"/>
      <x:c r="AF60" s="69"/>
      <x:c r="AG60" s="69"/>
    </x:row>
    <x:row r="61">
      <x:c r="Q61" s="72"/>
      <x:c r="R61" s="69"/>
      <x:c r="S61" s="69"/>
      <x:c r="T61" s="69"/>
      <x:c r="U61" s="69"/>
      <x:c r="V61" s="69"/>
      <x:c r="W61" s="69"/>
      <x:c r="X61" s="69"/>
      <x:c r="Y61" s="69"/>
      <x:c r="Z61" s="69"/>
      <x:c r="AA61" s="69"/>
      <x:c r="AB61" s="69"/>
      <x:c r="AC61" s="69"/>
      <x:c r="AD61" s="69"/>
      <x:c r="AE61" s="69"/>
      <x:c r="AF61" s="69"/>
      <x:c r="AG61" s="69"/>
    </x:row>
    <x:row r="62">
      <x:c r="Q62" s="72"/>
      <x:c r="R62" s="69"/>
      <x:c r="S62" s="69"/>
      <x:c r="T62" s="69"/>
      <x:c r="U62" s="69"/>
      <x:c r="V62" s="69"/>
      <x:c r="W62" s="69"/>
      <x:c r="X62" s="69"/>
      <x:c r="Y62" s="69"/>
      <x:c r="Z62" s="69"/>
      <x:c r="AA62" s="69"/>
      <x:c r="AB62" s="69"/>
      <x:c r="AC62" s="69"/>
      <x:c r="AD62" s="69"/>
      <x:c r="AE62" s="69"/>
      <x:c r="AF62" s="69"/>
      <x:c r="AG62" s="69"/>
    </x:row>
    <x:row r="63">
      <x:c r="Q63" s="72"/>
      <x:c r="R63" s="69"/>
      <x:c r="S63" s="69"/>
      <x:c r="T63" s="69"/>
      <x:c r="U63" s="69"/>
      <x:c r="V63" s="69"/>
      <x:c r="W63" s="69"/>
      <x:c r="X63" s="69"/>
      <x:c r="Y63" s="69"/>
      <x:c r="Z63" s="69"/>
      <x:c r="AA63" s="69"/>
      <x:c r="AB63" s="69"/>
      <x:c r="AC63" s="69"/>
      <x:c r="AD63" s="69"/>
      <x:c r="AE63" s="69"/>
      <x:c r="AF63" s="69"/>
      <x:c r="AG63" s="69"/>
    </x:row>
    <x:row r="64">
      <x:c r="Q64" s="72"/>
      <x:c r="R64" s="69"/>
      <x:c r="S64" s="69"/>
      <x:c r="T64" s="69"/>
      <x:c r="U64" s="69"/>
      <x:c r="V64" s="69"/>
      <x:c r="W64" s="69"/>
      <x:c r="X64" s="69"/>
      <x:c r="Y64" s="69"/>
      <x:c r="Z64" s="69"/>
      <x:c r="AA64" s="69"/>
      <x:c r="AB64" s="69"/>
      <x:c r="AC64" s="69"/>
      <x:c r="AD64" s="69"/>
      <x:c r="AE64" s="69"/>
      <x:c r="AF64" s="69"/>
      <x:c r="AG64" s="69"/>
    </x:row>
    <x:row r="65">
      <x:c r="Q65" s="72"/>
      <x:c r="R65" s="69"/>
      <x:c r="S65" s="69"/>
      <x:c r="T65" s="69"/>
      <x:c r="U65" s="69"/>
      <x:c r="V65" s="69"/>
      <x:c r="W65" s="69"/>
      <x:c r="X65" s="69"/>
      <x:c r="Y65" s="69"/>
      <x:c r="Z65" s="69"/>
      <x:c r="AA65" s="69"/>
      <x:c r="AB65" s="69"/>
      <x:c r="AC65" s="69"/>
      <x:c r="AD65" s="69"/>
      <x:c r="AE65" s="69"/>
      <x:c r="AF65" s="69"/>
      <x:c r="AG65" s="69"/>
    </x:row>
    <x:row r="66">
      <x:c r="Q66" s="72"/>
      <x:c r="R66" s="69"/>
      <x:c r="S66" s="69"/>
      <x:c r="T66" s="69"/>
      <x:c r="U66" s="69"/>
      <x:c r="V66" s="69"/>
      <x:c r="W66" s="69"/>
      <x:c r="X66" s="69"/>
      <x:c r="Y66" s="69"/>
      <x:c r="Z66" s="69"/>
      <x:c r="AA66" s="69"/>
      <x:c r="AB66" s="69"/>
      <x:c r="AC66" s="69"/>
      <x:c r="AD66" s="69"/>
      <x:c r="AE66" s="69"/>
      <x:c r="AF66" s="69"/>
      <x:c r="AG66" s="69"/>
    </x:row>
    <x:row r="67">
      <x:c r="Q67" s="72"/>
      <x:c r="R67" s="69"/>
      <x:c r="S67" s="69"/>
      <x:c r="T67" s="69"/>
      <x:c r="U67" s="69"/>
      <x:c r="V67" s="69"/>
      <x:c r="W67" s="69"/>
      <x:c r="X67" s="69"/>
      <x:c r="Y67" s="69"/>
      <x:c r="Z67" s="69"/>
      <x:c r="AA67" s="69"/>
      <x:c r="AB67" s="69"/>
      <x:c r="AC67" s="69"/>
      <x:c r="AD67" s="69"/>
      <x:c r="AE67" s="69"/>
      <x:c r="AF67" s="69"/>
      <x:c r="AG67" s="69"/>
    </x:row>
    <x:row r="68">
      <x:c r="Q68" s="72"/>
      <x:c r="R68" s="69"/>
      <x:c r="S68" s="69"/>
      <x:c r="T68" s="69"/>
      <x:c r="U68" s="69"/>
      <x:c r="V68" s="69"/>
      <x:c r="W68" s="69"/>
      <x:c r="X68" s="69"/>
      <x:c r="Y68" s="69"/>
      <x:c r="Z68" s="69"/>
      <x:c r="AA68" s="69"/>
      <x:c r="AB68" s="69"/>
      <x:c r="AC68" s="69"/>
      <x:c r="AD68" s="69"/>
      <x:c r="AE68" s="69"/>
      <x:c r="AF68" s="69"/>
      <x:c r="AG68" s="69"/>
    </x:row>
    <x:row r="69">
      <x:c r="Q69" s="72"/>
      <x:c r="R69" s="69"/>
      <x:c r="S69" s="69"/>
      <x:c r="T69" s="69"/>
      <x:c r="U69" s="69"/>
      <x:c r="V69" s="69"/>
      <x:c r="W69" s="69"/>
      <x:c r="X69" s="69"/>
      <x:c r="Y69" s="69"/>
      <x:c r="Z69" s="69"/>
      <x:c r="AA69" s="69"/>
      <x:c r="AB69" s="69"/>
      <x:c r="AC69" s="69"/>
      <x:c r="AD69" s="69"/>
      <x:c r="AE69" s="69"/>
      <x:c r="AF69" s="69"/>
      <x:c r="AG69" s="69"/>
    </x:row>
    <x:row r="70">
      <x:c r="Q70" s="72"/>
      <x:c r="R70" s="69"/>
      <x:c r="S70" s="69"/>
      <x:c r="T70" s="69"/>
      <x:c r="U70" s="69"/>
      <x:c r="V70" s="69"/>
      <x:c r="W70" s="69"/>
      <x:c r="X70" s="69"/>
      <x:c r="Y70" s="69"/>
      <x:c r="Z70" s="69"/>
      <x:c r="AA70" s="69"/>
      <x:c r="AB70" s="69"/>
      <x:c r="AC70" s="69"/>
      <x:c r="AD70" s="69"/>
      <x:c r="AE70" s="69"/>
      <x:c r="AF70" s="69"/>
      <x:c r="AG70" s="69"/>
    </x:row>
    <x:row r="71">
      <x:c r="Q71" s="72"/>
      <x:c r="R71" s="69"/>
      <x:c r="S71" s="69"/>
      <x:c r="T71" s="69"/>
      <x:c r="U71" s="69"/>
      <x:c r="V71" s="69"/>
      <x:c r="W71" s="69"/>
      <x:c r="X71" s="69"/>
      <x:c r="Y71" s="69"/>
      <x:c r="Z71" s="69"/>
      <x:c r="AA71" s="69"/>
      <x:c r="AB71" s="69"/>
      <x:c r="AC71" s="69"/>
      <x:c r="AD71" s="69"/>
      <x:c r="AE71" s="69"/>
      <x:c r="AF71" s="69"/>
      <x:c r="AG71" s="69"/>
    </x:row>
    <x:row r="72">
      <x:c r="Q72" s="72"/>
      <x:c r="R72" s="69"/>
      <x:c r="S72" s="69"/>
      <x:c r="T72" s="69"/>
      <x:c r="U72" s="69"/>
      <x:c r="V72" s="69"/>
      <x:c r="W72" s="69"/>
      <x:c r="X72" s="69"/>
      <x:c r="Y72" s="69"/>
      <x:c r="Z72" s="69"/>
      <x:c r="AA72" s="69"/>
      <x:c r="AB72" s="69"/>
      <x:c r="AC72" s="69"/>
      <x:c r="AD72" s="69"/>
      <x:c r="AE72" s="69"/>
      <x:c r="AF72" s="69"/>
      <x:c r="AG72" s="69"/>
    </x:row>
    <x:row r="73">
      <x:c r="Q73" s="72"/>
      <x:c r="R73" s="69"/>
      <x:c r="S73" s="69"/>
      <x:c r="T73" s="69"/>
      <x:c r="U73" s="69"/>
      <x:c r="V73" s="69"/>
      <x:c r="W73" s="69"/>
      <x:c r="X73" s="69"/>
      <x:c r="Y73" s="69"/>
      <x:c r="Z73" s="69"/>
      <x:c r="AA73" s="69"/>
      <x:c r="AB73" s="69"/>
      <x:c r="AC73" s="69"/>
      <x:c r="AD73" s="69"/>
      <x:c r="AE73" s="69"/>
      <x:c r="AF73" s="69"/>
      <x:c r="AG73" s="69"/>
    </x:row>
    <x:row r="74">
      <x:c r="Q74" s="72"/>
      <x:c r="R74" s="69"/>
      <x:c r="S74" s="69"/>
      <x:c r="T74" s="69"/>
      <x:c r="U74" s="69"/>
      <x:c r="V74" s="69"/>
      <x:c r="W74" s="69"/>
      <x:c r="X74" s="69"/>
      <x:c r="Y74" s="69"/>
      <x:c r="Z74" s="69"/>
      <x:c r="AA74" s="69"/>
      <x:c r="AB74" s="69"/>
      <x:c r="AC74" s="69"/>
      <x:c r="AD74" s="69"/>
      <x:c r="AE74" s="69"/>
      <x:c r="AF74" s="69"/>
      <x:c r="AG74" s="69"/>
    </x:row>
    <x:row r="75">
      <x:c r="Q75" s="72"/>
      <x:c r="R75" s="69"/>
      <x:c r="S75" s="69"/>
      <x:c r="T75" s="69"/>
      <x:c r="U75" s="69"/>
      <x:c r="V75" s="69"/>
      <x:c r="W75" s="69"/>
      <x:c r="X75" s="69"/>
      <x:c r="Y75" s="69"/>
      <x:c r="Z75" s="69"/>
      <x:c r="AA75" s="69"/>
      <x:c r="AB75" s="69"/>
      <x:c r="AC75" s="69"/>
      <x:c r="AD75" s="69"/>
      <x:c r="AE75" s="69"/>
      <x:c r="AF75" s="69"/>
      <x:c r="AG75" s="69"/>
    </x:row>
    <x:row r="76">
      <x:c r="Q76" s="72"/>
      <x:c r="R76" s="69"/>
      <x:c r="S76" s="69"/>
      <x:c r="T76" s="69"/>
      <x:c r="U76" s="69"/>
      <x:c r="V76" s="69"/>
      <x:c r="W76" s="69"/>
      <x:c r="X76" s="69"/>
      <x:c r="Y76" s="69"/>
      <x:c r="Z76" s="69"/>
      <x:c r="AA76" s="69"/>
      <x:c r="AB76" s="69"/>
      <x:c r="AC76" s="69"/>
      <x:c r="AD76" s="69"/>
      <x:c r="AE76" s="69"/>
      <x:c r="AF76" s="69"/>
      <x:c r="AG76" s="69"/>
    </x:row>
    <x:row r="77">
      <x:c r="Q77" s="72"/>
      <x:c r="R77" s="69"/>
      <x:c r="S77" s="69"/>
      <x:c r="T77" s="69"/>
      <x:c r="U77" s="69"/>
      <x:c r="V77" s="69"/>
      <x:c r="W77" s="69"/>
      <x:c r="X77" s="69"/>
      <x:c r="Y77" s="69"/>
      <x:c r="Z77" s="69"/>
      <x:c r="AA77" s="69"/>
      <x:c r="AB77" s="69"/>
      <x:c r="AC77" s="69"/>
      <x:c r="AD77" s="69"/>
      <x:c r="AE77" s="69"/>
      <x:c r="AF77" s="69"/>
      <x:c r="AG77" s="69"/>
    </x:row>
    <x:row r="78">
      <x:c r="Q78" s="72"/>
      <x:c r="R78" s="69"/>
      <x:c r="S78" s="69"/>
      <x:c r="T78" s="69"/>
      <x:c r="U78" s="69"/>
      <x:c r="V78" s="69"/>
      <x:c r="W78" s="69"/>
      <x:c r="X78" s="69"/>
      <x:c r="Y78" s="69"/>
      <x:c r="Z78" s="69"/>
      <x:c r="AA78" s="69"/>
      <x:c r="AB78" s="69"/>
      <x:c r="AC78" s="69"/>
      <x:c r="AD78" s="69"/>
      <x:c r="AE78" s="69"/>
      <x:c r="AF78" s="69"/>
      <x:c r="AG78" s="69"/>
    </x:row>
    <x:row r="79">
      <x:c r="Q79" s="72"/>
      <x:c r="R79" s="69"/>
      <x:c r="S79" s="69"/>
      <x:c r="T79" s="69"/>
      <x:c r="U79" s="69"/>
      <x:c r="V79" s="69"/>
      <x:c r="W79" s="69"/>
      <x:c r="X79" s="69"/>
      <x:c r="Y79" s="69"/>
      <x:c r="Z79" s="69"/>
      <x:c r="AA79" s="69"/>
      <x:c r="AB79" s="69"/>
      <x:c r="AC79" s="69"/>
      <x:c r="AD79" s="69"/>
      <x:c r="AE79" s="69"/>
      <x:c r="AF79" s="69"/>
      <x:c r="AG79" s="69"/>
    </x:row>
    <x:row r="80">
      <x:c r="Q80" s="72"/>
      <x:c r="R80" s="69"/>
      <x:c r="S80" s="69"/>
      <x:c r="T80" s="69"/>
      <x:c r="U80" s="69"/>
      <x:c r="V80" s="69"/>
      <x:c r="W80" s="69"/>
      <x:c r="X80" s="69"/>
      <x:c r="Y80" s="69"/>
      <x:c r="Z80" s="69"/>
      <x:c r="AA80" s="69"/>
      <x:c r="AB80" s="69"/>
      <x:c r="AC80" s="69"/>
      <x:c r="AD80" s="69"/>
      <x:c r="AE80" s="69"/>
      <x:c r="AF80" s="69"/>
      <x:c r="AG80" s="69"/>
    </x:row>
    <x:row r="81">
      <x:c r="Q81" s="72"/>
      <x:c r="R81" s="69"/>
      <x:c r="S81" s="69"/>
      <x:c r="T81" s="69"/>
      <x:c r="U81" s="69"/>
      <x:c r="V81" s="69"/>
      <x:c r="W81" s="69"/>
      <x:c r="X81" s="69"/>
      <x:c r="Y81" s="69"/>
      <x:c r="Z81" s="69"/>
      <x:c r="AA81" s="69"/>
      <x:c r="AB81" s="69"/>
      <x:c r="AC81" s="69"/>
      <x:c r="AD81" s="69"/>
      <x:c r="AE81" s="69"/>
      <x:c r="AF81" s="69"/>
      <x:c r="AG81" s="69"/>
    </x:row>
    <x:row r="82">
      <x:c r="Q82" s="72"/>
      <x:c r="R82" s="69"/>
      <x:c r="S82" s="69"/>
      <x:c r="T82" s="69"/>
      <x:c r="U82" s="69"/>
      <x:c r="V82" s="69"/>
      <x:c r="W82" s="69"/>
      <x:c r="X82" s="69"/>
      <x:c r="Y82" s="69"/>
      <x:c r="Z82" s="69"/>
      <x:c r="AA82" s="69"/>
      <x:c r="AB82" s="69"/>
      <x:c r="AC82" s="69"/>
      <x:c r="AD82" s="69"/>
      <x:c r="AE82" s="69"/>
      <x:c r="AF82" s="69"/>
      <x:c r="AG82" s="69"/>
    </x:row>
    <x:row r="83">
      <x:c r="Q83" s="72"/>
      <x:c r="R83" s="69"/>
      <x:c r="S83" s="69"/>
      <x:c r="T83" s="69"/>
      <x:c r="U83" s="69"/>
      <x:c r="V83" s="69"/>
      <x:c r="W83" s="69"/>
      <x:c r="X83" s="69"/>
      <x:c r="Y83" s="69"/>
      <x:c r="Z83" s="69"/>
      <x:c r="AA83" s="69"/>
      <x:c r="AB83" s="69"/>
      <x:c r="AC83" s="69"/>
      <x:c r="AD83" s="69"/>
      <x:c r="AE83" s="69"/>
      <x:c r="AF83" s="69"/>
      <x:c r="AG83" s="69"/>
    </x:row>
    <x:row r="84">
      <x:c r="Q84" s="72"/>
      <x:c r="R84" s="69"/>
      <x:c r="S84" s="69"/>
      <x:c r="T84" s="69"/>
      <x:c r="U84" s="69"/>
      <x:c r="V84" s="69"/>
      <x:c r="W84" s="69"/>
      <x:c r="X84" s="69"/>
      <x:c r="Y84" s="69"/>
      <x:c r="Z84" s="69"/>
      <x:c r="AA84" s="69"/>
      <x:c r="AB84" s="69"/>
      <x:c r="AC84" s="69"/>
      <x:c r="AD84" s="69"/>
      <x:c r="AE84" s="69"/>
      <x:c r="AF84" s="69"/>
      <x:c r="AG84" s="69"/>
    </x:row>
    <x:row r="85">
      <x:c r="Q85" s="72"/>
      <x:c r="R85" s="69"/>
      <x:c r="S85" s="69"/>
      <x:c r="T85" s="69"/>
      <x:c r="U85" s="69"/>
      <x:c r="V85" s="69"/>
      <x:c r="W85" s="69"/>
      <x:c r="X85" s="69"/>
      <x:c r="Y85" s="69"/>
      <x:c r="Z85" s="69"/>
      <x:c r="AA85" s="69"/>
      <x:c r="AB85" s="69"/>
      <x:c r="AC85" s="69"/>
      <x:c r="AD85" s="69"/>
      <x:c r="AE85" s="69"/>
      <x:c r="AF85" s="69"/>
      <x:c r="AG85" s="69"/>
    </x:row>
    <x:row r="86">
      <x:c r="Q86" s="72"/>
      <x:c r="R86" s="69"/>
      <x:c r="S86" s="69"/>
      <x:c r="T86" s="69"/>
      <x:c r="U86" s="69"/>
      <x:c r="V86" s="69"/>
      <x:c r="W86" s="69"/>
      <x:c r="X86" s="69"/>
      <x:c r="Y86" s="69"/>
      <x:c r="Z86" s="69"/>
      <x:c r="AA86" s="69"/>
      <x:c r="AB86" s="69"/>
      <x:c r="AC86" s="69"/>
      <x:c r="AD86" s="69"/>
      <x:c r="AE86" s="69"/>
      <x:c r="AF86" s="69"/>
      <x:c r="AG86" s="69"/>
    </x:row>
    <x:row r="87">
      <x:c r="Q87" s="72"/>
      <x:c r="R87" s="69"/>
      <x:c r="S87" s="69"/>
      <x:c r="T87" s="69"/>
      <x:c r="U87" s="69"/>
      <x:c r="V87" s="69"/>
      <x:c r="W87" s="69"/>
      <x:c r="X87" s="69"/>
      <x:c r="Y87" s="69"/>
      <x:c r="Z87" s="69"/>
      <x:c r="AA87" s="69"/>
      <x:c r="AB87" s="69"/>
      <x:c r="AC87" s="69"/>
      <x:c r="AD87" s="69"/>
      <x:c r="AE87" s="69"/>
      <x:c r="AF87" s="69"/>
      <x:c r="AG87" s="69"/>
    </x:row>
    <x:row r="88">
      <x:c r="Q88" s="72"/>
      <x:c r="R88" s="69"/>
      <x:c r="S88" s="69"/>
      <x:c r="T88" s="69"/>
      <x:c r="U88" s="69"/>
      <x:c r="V88" s="69"/>
      <x:c r="W88" s="69"/>
      <x:c r="X88" s="69"/>
      <x:c r="Y88" s="69"/>
      <x:c r="Z88" s="69"/>
      <x:c r="AA88" s="69"/>
      <x:c r="AB88" s="69"/>
      <x:c r="AC88" s="69"/>
      <x:c r="AD88" s="69"/>
      <x:c r="AE88" s="69"/>
      <x:c r="AF88" s="69"/>
      <x:c r="AG88" s="69"/>
    </x:row>
    <x:row r="89">
      <x:c r="Q89" s="72"/>
      <x:c r="R89" s="69"/>
      <x:c r="S89" s="69"/>
      <x:c r="T89" s="69"/>
      <x:c r="U89" s="69"/>
      <x:c r="V89" s="69"/>
      <x:c r="W89" s="69"/>
      <x:c r="X89" s="69"/>
      <x:c r="Y89" s="69"/>
      <x:c r="Z89" s="69"/>
      <x:c r="AA89" s="69"/>
      <x:c r="AB89" s="69"/>
      <x:c r="AC89" s="69"/>
      <x:c r="AD89" s="69"/>
      <x:c r="AE89" s="69"/>
      <x:c r="AF89" s="69"/>
      <x:c r="AG89" s="69"/>
    </x:row>
    <x:row r="90">
      <x:c r="Q90" s="72"/>
      <x:c r="R90" s="69"/>
      <x:c r="S90" s="69"/>
      <x:c r="T90" s="69"/>
      <x:c r="U90" s="69"/>
      <x:c r="V90" s="69"/>
      <x:c r="W90" s="69"/>
      <x:c r="X90" s="69"/>
      <x:c r="Y90" s="69"/>
      <x:c r="Z90" s="69"/>
      <x:c r="AA90" s="69"/>
      <x:c r="AB90" s="69"/>
      <x:c r="AC90" s="69"/>
      <x:c r="AD90" s="69"/>
      <x:c r="AE90" s="69"/>
      <x:c r="AF90" s="69"/>
      <x:c r="AG90" s="69"/>
    </x:row>
    <x:row r="91">
      <x:c r="Q91" s="72"/>
      <x:c r="R91" s="69"/>
      <x:c r="S91" s="69"/>
      <x:c r="T91" s="69"/>
      <x:c r="U91" s="69"/>
      <x:c r="V91" s="69"/>
      <x:c r="W91" s="69"/>
      <x:c r="X91" s="69"/>
      <x:c r="Y91" s="69"/>
      <x:c r="Z91" s="69"/>
      <x:c r="AA91" s="69"/>
      <x:c r="AB91" s="69"/>
      <x:c r="AC91" s="69"/>
      <x:c r="AD91" s="69"/>
      <x:c r="AE91" s="69"/>
      <x:c r="AF91" s="69"/>
      <x:c r="AG91" s="69"/>
    </x:row>
    <x:row r="92">
      <x:c r="Q92" s="72"/>
      <x:c r="R92" s="69"/>
      <x:c r="S92" s="69"/>
      <x:c r="T92" s="69"/>
      <x:c r="U92" s="69"/>
      <x:c r="V92" s="69"/>
      <x:c r="W92" s="69"/>
      <x:c r="X92" s="69"/>
      <x:c r="Y92" s="69"/>
      <x:c r="Z92" s="69"/>
      <x:c r="AA92" s="69"/>
      <x:c r="AB92" s="69"/>
      <x:c r="AC92" s="69"/>
      <x:c r="AD92" s="69"/>
      <x:c r="AE92" s="69"/>
      <x:c r="AF92" s="69"/>
      <x:c r="AG92" s="69"/>
    </x:row>
    <x:row r="93">
      <x:c r="Q93" s="72"/>
      <x:c r="R93" s="69"/>
      <x:c r="S93" s="69"/>
      <x:c r="T93" s="69"/>
      <x:c r="U93" s="69"/>
      <x:c r="V93" s="69"/>
      <x:c r="W93" s="69"/>
      <x:c r="X93" s="69"/>
      <x:c r="Y93" s="69"/>
      <x:c r="Z93" s="69"/>
      <x:c r="AA93" s="69"/>
      <x:c r="AB93" s="69"/>
      <x:c r="AC93" s="69"/>
      <x:c r="AD93" s="69"/>
      <x:c r="AE93" s="69"/>
      <x:c r="AF93" s="69"/>
      <x:c r="AG93" s="69"/>
    </x:row>
    <x:row r="94">
      <x:c r="Q94" s="72"/>
      <x:c r="R94" s="69"/>
      <x:c r="S94" s="69"/>
      <x:c r="T94" s="69"/>
      <x:c r="U94" s="69"/>
      <x:c r="V94" s="69"/>
      <x:c r="W94" s="69"/>
      <x:c r="X94" s="69"/>
      <x:c r="Y94" s="69"/>
      <x:c r="Z94" s="69"/>
      <x:c r="AA94" s="69"/>
      <x:c r="AB94" s="69"/>
      <x:c r="AC94" s="69"/>
      <x:c r="AD94" s="69"/>
      <x:c r="AE94" s="69"/>
      <x:c r="AF94" s="69"/>
      <x:c r="AG94" s="69"/>
    </x:row>
    <x:row r="95">
      <x:c r="Q95" s="72"/>
      <x:c r="R95" s="69"/>
      <x:c r="S95" s="69"/>
      <x:c r="T95" s="69"/>
      <x:c r="U95" s="69"/>
      <x:c r="V95" s="69"/>
      <x:c r="W95" s="69"/>
      <x:c r="X95" s="69"/>
      <x:c r="Y95" s="69"/>
      <x:c r="Z95" s="69"/>
      <x:c r="AA95" s="69"/>
      <x:c r="AB95" s="69"/>
      <x:c r="AC95" s="69"/>
      <x:c r="AD95" s="69"/>
      <x:c r="AE95" s="69"/>
      <x:c r="AF95" s="69"/>
      <x:c r="AG95" s="69"/>
    </x:row>
    <x:row r="96">
      <x:c r="Q96" s="72"/>
      <x:c r="R96" s="69"/>
      <x:c r="S96" s="69"/>
      <x:c r="T96" s="69"/>
      <x:c r="U96" s="69"/>
      <x:c r="V96" s="69"/>
      <x:c r="W96" s="69"/>
      <x:c r="X96" s="69"/>
      <x:c r="Y96" s="69"/>
      <x:c r="Z96" s="69"/>
      <x:c r="AA96" s="69"/>
      <x:c r="AB96" s="69"/>
      <x:c r="AC96" s="69"/>
      <x:c r="AD96" s="69"/>
      <x:c r="AE96" s="69"/>
      <x:c r="AF96" s="69"/>
      <x:c r="AG96" s="69"/>
    </x:row>
    <x:row r="97">
      <x:c r="Q97" s="72"/>
      <x:c r="R97" s="69"/>
      <x:c r="S97" s="69"/>
      <x:c r="T97" s="69"/>
      <x:c r="U97" s="69"/>
      <x:c r="V97" s="69"/>
      <x:c r="W97" s="69"/>
      <x:c r="X97" s="69"/>
      <x:c r="Y97" s="69"/>
      <x:c r="Z97" s="69"/>
      <x:c r="AA97" s="69"/>
      <x:c r="AB97" s="69"/>
      <x:c r="AC97" s="69"/>
      <x:c r="AD97" s="69"/>
      <x:c r="AE97" s="69"/>
      <x:c r="AF97" s="69"/>
      <x:c r="AG97" s="69"/>
    </x:row>
    <x:row r="98">
      <x:c r="Q98" s="72"/>
      <x:c r="R98" s="69"/>
      <x:c r="S98" s="69"/>
      <x:c r="T98" s="69"/>
      <x:c r="U98" s="69"/>
      <x:c r="V98" s="69"/>
      <x:c r="W98" s="69"/>
      <x:c r="X98" s="69"/>
      <x:c r="Y98" s="69"/>
      <x:c r="Z98" s="69"/>
      <x:c r="AA98" s="69"/>
      <x:c r="AB98" s="69"/>
      <x:c r="AC98" s="69"/>
      <x:c r="AD98" s="69"/>
      <x:c r="AE98" s="69"/>
      <x:c r="AF98" s="69"/>
      <x:c r="AG98" s="69"/>
    </x:row>
    <x:row r="99">
      <x:c r="Q99" s="72"/>
      <x:c r="R99" s="69"/>
      <x:c r="S99" s="69"/>
      <x:c r="T99" s="69"/>
      <x:c r="U99" s="69"/>
      <x:c r="V99" s="69"/>
      <x:c r="W99" s="69"/>
      <x:c r="X99" s="69"/>
      <x:c r="Y99" s="69"/>
      <x:c r="Z99" s="69"/>
      <x:c r="AA99" s="69"/>
      <x:c r="AB99" s="69"/>
      <x:c r="AC99" s="69"/>
      <x:c r="AD99" s="69"/>
      <x:c r="AE99" s="69"/>
      <x:c r="AF99" s="69"/>
      <x:c r="AG99" s="69"/>
    </x:row>
    <x:row r="100">
      <x:c r="Q100" s="72"/>
      <x:c r="R100" s="69"/>
      <x:c r="S100" s="69"/>
      <x:c r="T100" s="69"/>
      <x:c r="U100" s="69"/>
      <x:c r="V100" s="69"/>
      <x:c r="W100" s="69"/>
      <x:c r="X100" s="69"/>
      <x:c r="Y100" s="69"/>
      <x:c r="Z100" s="69"/>
      <x:c r="AA100" s="69"/>
      <x:c r="AB100" s="69"/>
      <x:c r="AC100" s="69"/>
      <x:c r="AD100" s="69"/>
      <x:c r="AE100" s="69"/>
      <x:c r="AF100" s="69"/>
      <x:c r="AG100" s="69"/>
    </x:row>
    <x:row r="101">
      <x:c r="Q101" s="72"/>
      <x:c r="R101" s="69"/>
      <x:c r="S101" s="69"/>
      <x:c r="T101" s="69"/>
      <x:c r="U101" s="69"/>
      <x:c r="V101" s="69"/>
      <x:c r="W101" s="69"/>
      <x:c r="X101" s="69"/>
      <x:c r="Y101" s="69"/>
      <x:c r="Z101" s="69"/>
      <x:c r="AA101" s="69"/>
      <x:c r="AB101" s="69"/>
      <x:c r="AC101" s="69"/>
      <x:c r="AD101" s="69"/>
      <x:c r="AE101" s="69"/>
      <x:c r="AF101" s="69"/>
      <x:c r="AG101" s="69"/>
    </x:row>
    <x:row r="102">
      <x:c r="Q102" s="72"/>
      <x:c r="R102" s="69"/>
      <x:c r="S102" s="69"/>
      <x:c r="T102" s="69"/>
      <x:c r="U102" s="69"/>
      <x:c r="V102" s="69"/>
      <x:c r="W102" s="69"/>
      <x:c r="X102" s="69"/>
      <x:c r="Y102" s="69"/>
      <x:c r="Z102" s="69"/>
      <x:c r="AA102" s="69"/>
      <x:c r="AB102" s="69"/>
      <x:c r="AC102" s="69"/>
      <x:c r="AD102" s="69"/>
      <x:c r="AE102" s="69"/>
      <x:c r="AF102" s="69"/>
      <x:c r="AG102" s="69"/>
    </x:row>
    <x:row r="103">
      <x:c r="Q103" s="72"/>
      <x:c r="R103" s="69"/>
      <x:c r="S103" s="69"/>
      <x:c r="T103" s="69"/>
      <x:c r="U103" s="69"/>
      <x:c r="V103" s="69"/>
      <x:c r="W103" s="69"/>
      <x:c r="X103" s="69"/>
      <x:c r="Y103" s="69"/>
      <x:c r="Z103" s="69"/>
      <x:c r="AA103" s="69"/>
      <x:c r="AB103" s="69"/>
      <x:c r="AC103" s="69"/>
      <x:c r="AD103" s="69"/>
      <x:c r="AE103" s="69"/>
      <x:c r="AF103" s="69"/>
      <x:c r="AG103" s="69"/>
    </x:row>
    <x:row r="104">
      <x:c r="Q104" s="72"/>
      <x:c r="R104" s="69"/>
      <x:c r="S104" s="69"/>
      <x:c r="T104" s="69"/>
      <x:c r="U104" s="69"/>
      <x:c r="V104" s="69"/>
      <x:c r="W104" s="69"/>
      <x:c r="X104" s="69"/>
      <x:c r="Y104" s="69"/>
      <x:c r="Z104" s="69"/>
      <x:c r="AA104" s="69"/>
      <x:c r="AB104" s="69"/>
      <x:c r="AC104" s="69"/>
      <x:c r="AD104" s="69"/>
      <x:c r="AE104" s="69"/>
      <x:c r="AF104" s="69"/>
      <x:c r="AG104" s="69"/>
    </x:row>
    <x:row r="105">
      <x:c r="Q105" s="72"/>
      <x:c r="R105" s="69"/>
      <x:c r="S105" s="69"/>
      <x:c r="T105" s="69"/>
      <x:c r="U105" s="69"/>
      <x:c r="V105" s="69"/>
      <x:c r="W105" s="69"/>
      <x:c r="X105" s="69"/>
      <x:c r="Y105" s="69"/>
      <x:c r="Z105" s="69"/>
      <x:c r="AA105" s="69"/>
      <x:c r="AB105" s="69"/>
      <x:c r="AC105" s="69"/>
      <x:c r="AD105" s="69"/>
      <x:c r="AE105" s="69"/>
      <x:c r="AF105" s="69"/>
      <x:c r="AG105" s="69"/>
    </x:row>
    <x:row r="106">
      <x:c r="Q106" s="72"/>
      <x:c r="R106" s="69"/>
      <x:c r="S106" s="69"/>
      <x:c r="T106" s="69"/>
      <x:c r="U106" s="69"/>
      <x:c r="V106" s="69"/>
      <x:c r="W106" s="69"/>
      <x:c r="X106" s="69"/>
      <x:c r="Y106" s="69"/>
      <x:c r="Z106" s="69"/>
      <x:c r="AA106" s="69"/>
      <x:c r="AB106" s="69"/>
      <x:c r="AC106" s="69"/>
      <x:c r="AD106" s="69"/>
      <x:c r="AE106" s="69"/>
      <x:c r="AF106" s="69"/>
      <x:c r="AG106" s="69"/>
    </x:row>
    <x:row r="107">
      <x:c r="Q107" s="72"/>
      <x:c r="R107" s="69"/>
      <x:c r="S107" s="69"/>
      <x:c r="T107" s="69"/>
      <x:c r="U107" s="69"/>
      <x:c r="V107" s="69"/>
      <x:c r="W107" s="69"/>
      <x:c r="X107" s="69"/>
      <x:c r="Y107" s="69"/>
      <x:c r="Z107" s="69"/>
      <x:c r="AA107" s="69"/>
      <x:c r="AB107" s="69"/>
      <x:c r="AC107" s="69"/>
      <x:c r="AD107" s="69"/>
      <x:c r="AE107" s="69"/>
      <x:c r="AF107" s="69"/>
      <x:c r="AG107" s="69"/>
    </x:row>
    <x:row r="108">
      <x:c r="Q108" s="72"/>
      <x:c r="R108" s="69"/>
      <x:c r="S108" s="69"/>
      <x:c r="T108" s="69"/>
      <x:c r="U108" s="69"/>
      <x:c r="V108" s="69"/>
      <x:c r="W108" s="69"/>
      <x:c r="X108" s="69"/>
      <x:c r="Y108" s="69"/>
      <x:c r="Z108" s="69"/>
      <x:c r="AA108" s="69"/>
      <x:c r="AB108" s="69"/>
      <x:c r="AC108" s="69"/>
      <x:c r="AD108" s="69"/>
      <x:c r="AE108" s="69"/>
      <x:c r="AF108" s="69"/>
      <x:c r="AG108" s="69"/>
    </x:row>
    <x:row r="109">
      <x:c r="Q109" s="72"/>
      <x:c r="R109" s="69"/>
      <x:c r="S109" s="69"/>
      <x:c r="T109" s="69"/>
      <x:c r="U109" s="69"/>
      <x:c r="V109" s="69"/>
      <x:c r="W109" s="69"/>
      <x:c r="X109" s="69"/>
      <x:c r="Y109" s="69"/>
      <x:c r="Z109" s="69"/>
      <x:c r="AA109" s="69"/>
      <x:c r="AB109" s="69"/>
      <x:c r="AC109" s="69"/>
      <x:c r="AD109" s="69"/>
      <x:c r="AE109" s="69"/>
      <x:c r="AF109" s="69"/>
      <x:c r="AG109" s="69"/>
    </x:row>
    <x:row r="110">
      <x:c r="Q110" s="72"/>
      <x:c r="R110" s="69"/>
      <x:c r="S110" s="69"/>
      <x:c r="T110" s="69"/>
      <x:c r="U110" s="69"/>
      <x:c r="V110" s="69"/>
      <x:c r="W110" s="69"/>
      <x:c r="X110" s="69"/>
      <x:c r="Y110" s="69"/>
      <x:c r="Z110" s="69"/>
      <x:c r="AA110" s="69"/>
      <x:c r="AB110" s="69"/>
      <x:c r="AC110" s="69"/>
      <x:c r="AD110" s="69"/>
      <x:c r="AE110" s="69"/>
      <x:c r="AF110" s="69"/>
      <x:c r="AG110" s="69"/>
    </x:row>
    <x:row r="111">
      <x:c r="Q111" s="72"/>
      <x:c r="R111" s="69"/>
      <x:c r="S111" s="69"/>
      <x:c r="T111" s="69"/>
      <x:c r="U111" s="69"/>
      <x:c r="V111" s="69"/>
      <x:c r="W111" s="69"/>
      <x:c r="X111" s="69"/>
      <x:c r="Y111" s="69"/>
      <x:c r="Z111" s="69"/>
      <x:c r="AA111" s="69"/>
      <x:c r="AB111" s="69"/>
      <x:c r="AC111" s="69"/>
      <x:c r="AD111" s="69"/>
      <x:c r="AE111" s="69"/>
      <x:c r="AF111" s="69"/>
      <x:c r="AG111" s="69"/>
    </x:row>
    <x:row r="112">
      <x:c r="Q112" s="72"/>
      <x:c r="R112" s="69"/>
      <x:c r="S112" s="69"/>
      <x:c r="T112" s="69"/>
      <x:c r="U112" s="69"/>
      <x:c r="V112" s="69"/>
      <x:c r="W112" s="69"/>
      <x:c r="X112" s="69"/>
      <x:c r="Y112" s="69"/>
      <x:c r="Z112" s="69"/>
      <x:c r="AA112" s="69"/>
      <x:c r="AB112" s="69"/>
      <x:c r="AC112" s="69"/>
      <x:c r="AD112" s="69"/>
      <x:c r="AE112" s="69"/>
      <x:c r="AF112" s="69"/>
      <x:c r="AG112" s="69"/>
    </x:row>
    <x:row r="113">
      <x:c r="Q113" s="72"/>
      <x:c r="R113" s="69"/>
      <x:c r="S113" s="69"/>
      <x:c r="T113" s="69"/>
      <x:c r="U113" s="69"/>
      <x:c r="V113" s="69"/>
      <x:c r="W113" s="69"/>
      <x:c r="X113" s="69"/>
      <x:c r="Y113" s="69"/>
      <x:c r="Z113" s="69"/>
      <x:c r="AA113" s="69"/>
      <x:c r="AB113" s="69"/>
      <x:c r="AC113" s="69"/>
      <x:c r="AD113" s="69"/>
      <x:c r="AE113" s="69"/>
      <x:c r="AF113" s="69"/>
      <x:c r="AG113" s="69"/>
    </x:row>
    <x:row r="114">
      <x:c r="Q114" s="72"/>
      <x:c r="R114" s="69"/>
      <x:c r="S114" s="69"/>
      <x:c r="T114" s="69"/>
      <x:c r="U114" s="69"/>
      <x:c r="V114" s="69"/>
      <x:c r="W114" s="69"/>
      <x:c r="X114" s="69"/>
      <x:c r="Y114" s="69"/>
      <x:c r="Z114" s="69"/>
      <x:c r="AA114" s="69"/>
      <x:c r="AB114" s="69"/>
      <x:c r="AC114" s="69"/>
      <x:c r="AD114" s="69"/>
      <x:c r="AE114" s="69"/>
      <x:c r="AF114" s="69"/>
      <x:c r="AG114" s="69"/>
    </x:row>
    <x:row r="115">
      <x:c r="Q115" s="72"/>
      <x:c r="R115" s="69"/>
      <x:c r="S115" s="69"/>
      <x:c r="T115" s="69"/>
      <x:c r="U115" s="69"/>
      <x:c r="V115" s="69"/>
      <x:c r="W115" s="69"/>
      <x:c r="X115" s="69"/>
      <x:c r="Y115" s="69"/>
      <x:c r="Z115" s="69"/>
      <x:c r="AA115" s="69"/>
      <x:c r="AB115" s="69"/>
      <x:c r="AC115" s="69"/>
      <x:c r="AD115" s="69"/>
      <x:c r="AE115" s="69"/>
      <x:c r="AF115" s="69"/>
      <x:c r="AG115" s="69"/>
    </x:row>
    <x:row r="116">
      <x:c r="Q116" s="72"/>
      <x:c r="R116" s="69"/>
      <x:c r="S116" s="69"/>
      <x:c r="T116" s="69"/>
      <x:c r="U116" s="69"/>
      <x:c r="V116" s="69"/>
      <x:c r="W116" s="69"/>
      <x:c r="X116" s="69"/>
      <x:c r="Y116" s="69"/>
      <x:c r="Z116" s="69"/>
      <x:c r="AA116" s="69"/>
      <x:c r="AB116" s="69"/>
      <x:c r="AC116" s="69"/>
      <x:c r="AD116" s="69"/>
      <x:c r="AE116" s="69"/>
      <x:c r="AF116" s="69"/>
      <x:c r="AG116" s="69"/>
    </x:row>
    <x:row r="117">
      <x:c r="Q117" s="72"/>
      <x:c r="R117" s="69"/>
      <x:c r="S117" s="69"/>
      <x:c r="T117" s="69"/>
      <x:c r="U117" s="69"/>
      <x:c r="V117" s="69"/>
      <x:c r="W117" s="69"/>
      <x:c r="X117" s="69"/>
      <x:c r="Y117" s="69"/>
      <x:c r="Z117" s="69"/>
      <x:c r="AA117" s="69"/>
      <x:c r="AB117" s="69"/>
      <x:c r="AC117" s="69"/>
      <x:c r="AD117" s="69"/>
      <x:c r="AE117" s="69"/>
      <x:c r="AF117" s="69"/>
      <x:c r="AG117" s="69"/>
    </x:row>
    <x:row r="118">
      <x:c r="Q118" s="72"/>
      <x:c r="R118" s="69"/>
      <x:c r="S118" s="69"/>
      <x:c r="T118" s="69"/>
      <x:c r="U118" s="69"/>
      <x:c r="V118" s="69"/>
      <x:c r="W118" s="69"/>
      <x:c r="X118" s="69"/>
      <x:c r="Y118" s="69"/>
      <x:c r="Z118" s="69"/>
      <x:c r="AA118" s="69"/>
      <x:c r="AB118" s="69"/>
      <x:c r="AC118" s="69"/>
      <x:c r="AD118" s="69"/>
      <x:c r="AE118" s="69"/>
      <x:c r="AF118" s="69"/>
      <x:c r="AG118" s="69"/>
    </x:row>
    <x:row r="119">
      <x:c r="Q119" s="72"/>
      <x:c r="R119" s="69"/>
      <x:c r="S119" s="69"/>
      <x:c r="T119" s="69"/>
      <x:c r="U119" s="69"/>
      <x:c r="V119" s="69"/>
      <x:c r="W119" s="69"/>
      <x:c r="X119" s="69"/>
      <x:c r="Y119" s="69"/>
      <x:c r="Z119" s="69"/>
      <x:c r="AA119" s="69"/>
      <x:c r="AB119" s="69"/>
      <x:c r="AC119" s="69"/>
      <x:c r="AD119" s="69"/>
      <x:c r="AE119" s="69"/>
      <x:c r="AF119" s="69"/>
      <x:c r="AG119" s="69"/>
    </x:row>
    <x:row r="120">
      <x:c r="Q120" s="72"/>
      <x:c r="R120" s="69"/>
      <x:c r="S120" s="69"/>
      <x:c r="T120" s="69"/>
      <x:c r="U120" s="69"/>
      <x:c r="V120" s="69"/>
      <x:c r="W120" s="69"/>
      <x:c r="X120" s="69"/>
      <x:c r="Y120" s="69"/>
      <x:c r="Z120" s="69"/>
      <x:c r="AA120" s="69"/>
      <x:c r="AB120" s="69"/>
      <x:c r="AC120" s="69"/>
      <x:c r="AD120" s="69"/>
      <x:c r="AE120" s="69"/>
      <x:c r="AF120" s="69"/>
      <x:c r="AG120" s="69"/>
    </x:row>
    <x:row r="121">
      <x:c r="Q121" s="72"/>
      <x:c r="R121" s="69"/>
      <x:c r="S121" s="69"/>
      <x:c r="T121" s="69"/>
      <x:c r="U121" s="69"/>
      <x:c r="V121" s="69"/>
      <x:c r="W121" s="69"/>
      <x:c r="X121" s="69"/>
      <x:c r="Y121" s="69"/>
      <x:c r="Z121" s="69"/>
      <x:c r="AA121" s="69"/>
      <x:c r="AB121" s="69"/>
      <x:c r="AC121" s="69"/>
      <x:c r="AD121" s="69"/>
      <x:c r="AE121" s="69"/>
      <x:c r="AF121" s="69"/>
      <x:c r="AG121" s="69"/>
    </x:row>
    <x:row r="122">
      <x:c r="Q122" s="72"/>
      <x:c r="R122" s="69"/>
      <x:c r="S122" s="69"/>
      <x:c r="T122" s="69"/>
      <x:c r="U122" s="69"/>
      <x:c r="V122" s="69"/>
      <x:c r="W122" s="69"/>
      <x:c r="X122" s="69"/>
      <x:c r="Y122" s="69"/>
      <x:c r="Z122" s="69"/>
      <x:c r="AA122" s="69"/>
      <x:c r="AB122" s="69"/>
      <x:c r="AC122" s="69"/>
      <x:c r="AD122" s="69"/>
      <x:c r="AE122" s="69"/>
      <x:c r="AF122" s="69"/>
      <x:c r="AG122" s="69"/>
    </x:row>
    <x:row r="123">
      <x:c r="Q123" s="72"/>
      <x:c r="R123" s="69"/>
      <x:c r="S123" s="69"/>
      <x:c r="T123" s="69"/>
      <x:c r="U123" s="69"/>
      <x:c r="V123" s="69"/>
      <x:c r="W123" s="69"/>
      <x:c r="X123" s="69"/>
      <x:c r="Y123" s="69"/>
      <x:c r="Z123" s="69"/>
      <x:c r="AA123" s="69"/>
      <x:c r="AB123" s="69"/>
      <x:c r="AC123" s="69"/>
      <x:c r="AD123" s="69"/>
      <x:c r="AE123" s="69"/>
      <x:c r="AF123" s="69"/>
      <x:c r="AG123" s="69"/>
    </x:row>
    <x:row r="124">
      <x:c r="Q124" s="72"/>
      <x:c r="R124" s="69"/>
      <x:c r="S124" s="69"/>
      <x:c r="T124" s="69"/>
      <x:c r="U124" s="69"/>
      <x:c r="V124" s="69"/>
      <x:c r="W124" s="69"/>
      <x:c r="X124" s="69"/>
      <x:c r="Y124" s="69"/>
      <x:c r="Z124" s="69"/>
      <x:c r="AA124" s="69"/>
      <x:c r="AB124" s="69"/>
      <x:c r="AC124" s="69"/>
      <x:c r="AD124" s="69"/>
      <x:c r="AE124" s="69"/>
      <x:c r="AF124" s="69"/>
      <x:c r="AG124" s="69"/>
    </x:row>
    <x:row r="125">
      <x:c r="Q125" s="72"/>
      <x:c r="R125" s="69"/>
      <x:c r="S125" s="69"/>
      <x:c r="T125" s="69"/>
      <x:c r="U125" s="69"/>
      <x:c r="V125" s="69"/>
      <x:c r="W125" s="69"/>
      <x:c r="X125" s="69"/>
      <x:c r="Y125" s="69"/>
      <x:c r="Z125" s="69"/>
      <x:c r="AA125" s="69"/>
      <x:c r="AB125" s="69"/>
      <x:c r="AC125" s="69"/>
      <x:c r="AD125" s="69"/>
      <x:c r="AE125" s="69"/>
      <x:c r="AF125" s="69"/>
      <x:c r="AG125" s="69"/>
    </x:row>
    <x:row r="126">
      <x:c r="Q126" s="72"/>
      <x:c r="R126" s="69"/>
      <x:c r="S126" s="69"/>
      <x:c r="T126" s="69"/>
      <x:c r="U126" s="69"/>
      <x:c r="V126" s="69"/>
      <x:c r="W126" s="69"/>
      <x:c r="X126" s="69"/>
      <x:c r="Y126" s="69"/>
      <x:c r="Z126" s="69"/>
      <x:c r="AA126" s="69"/>
      <x:c r="AB126" s="69"/>
      <x:c r="AC126" s="69"/>
      <x:c r="AD126" s="69"/>
      <x:c r="AE126" s="69"/>
      <x:c r="AF126" s="69"/>
      <x:c r="AG126" s="69"/>
    </x:row>
    <x:row r="127">
      <x:c r="Q127" s="72"/>
      <x:c r="R127" s="69"/>
      <x:c r="S127" s="69"/>
      <x:c r="T127" s="69"/>
      <x:c r="U127" s="69"/>
      <x:c r="V127" s="69"/>
      <x:c r="W127" s="69"/>
      <x:c r="X127" s="69"/>
      <x:c r="Y127" s="69"/>
      <x:c r="Z127" s="69"/>
      <x:c r="AA127" s="69"/>
      <x:c r="AB127" s="69"/>
      <x:c r="AC127" s="69"/>
      <x:c r="AD127" s="69"/>
      <x:c r="AE127" s="69"/>
      <x:c r="AF127" s="69"/>
      <x:c r="AG127" s="69"/>
    </x:row>
    <x:row r="128">
      <x:c r="Q128" s="72"/>
      <x:c r="R128" s="69"/>
      <x:c r="S128" s="69"/>
      <x:c r="T128" s="69"/>
      <x:c r="U128" s="69"/>
      <x:c r="V128" s="69"/>
      <x:c r="W128" s="69"/>
      <x:c r="X128" s="69"/>
      <x:c r="Y128" s="69"/>
      <x:c r="Z128" s="69"/>
      <x:c r="AA128" s="69"/>
      <x:c r="AB128" s="69"/>
      <x:c r="AC128" s="69"/>
      <x:c r="AD128" s="69"/>
      <x:c r="AE128" s="69"/>
      <x:c r="AF128" s="69"/>
      <x:c r="AG128" s="69"/>
    </x:row>
    <x:row r="129">
      <x:c r="Q129" s="72"/>
      <x:c r="R129" s="69"/>
      <x:c r="S129" s="69"/>
      <x:c r="T129" s="69"/>
      <x:c r="U129" s="69"/>
      <x:c r="V129" s="69"/>
      <x:c r="W129" s="69"/>
      <x:c r="X129" s="69"/>
      <x:c r="Y129" s="69"/>
      <x:c r="Z129" s="69"/>
      <x:c r="AA129" s="69"/>
      <x:c r="AB129" s="69"/>
      <x:c r="AC129" s="69"/>
      <x:c r="AD129" s="69"/>
      <x:c r="AE129" s="69"/>
      <x:c r="AF129" s="69"/>
      <x:c r="AG129" s="69"/>
    </x:row>
    <x:row r="130">
      <x:c r="Q130" s="72"/>
      <x:c r="R130" s="69"/>
      <x:c r="S130" s="69"/>
      <x:c r="T130" s="69"/>
      <x:c r="U130" s="69"/>
      <x:c r="V130" s="69"/>
      <x:c r="W130" s="69"/>
      <x:c r="X130" s="69"/>
      <x:c r="Y130" s="69"/>
      <x:c r="Z130" s="69"/>
      <x:c r="AA130" s="69"/>
      <x:c r="AB130" s="69"/>
      <x:c r="AC130" s="69"/>
      <x:c r="AD130" s="69"/>
      <x:c r="AE130" s="69"/>
      <x:c r="AF130" s="69"/>
      <x:c r="AG130" s="69"/>
    </x:row>
    <x:row r="131">
      <x:c r="Q131" s="72"/>
      <x:c r="R131" s="69"/>
      <x:c r="S131" s="69"/>
      <x:c r="T131" s="69"/>
      <x:c r="U131" s="69"/>
      <x:c r="V131" s="69"/>
      <x:c r="W131" s="69"/>
      <x:c r="X131" s="69"/>
      <x:c r="Y131" s="69"/>
      <x:c r="Z131" s="69"/>
      <x:c r="AA131" s="69"/>
      <x:c r="AB131" s="69"/>
      <x:c r="AC131" s="69"/>
      <x:c r="AD131" s="69"/>
      <x:c r="AE131" s="69"/>
      <x:c r="AF131" s="69"/>
      <x:c r="AG131" s="69"/>
    </x:row>
    <x:row r="132">
      <x:c r="Q132" s="72"/>
      <x:c r="R132" s="69"/>
      <x:c r="S132" s="69"/>
      <x:c r="T132" s="69"/>
      <x:c r="U132" s="69"/>
      <x:c r="V132" s="69"/>
      <x:c r="W132" s="69"/>
      <x:c r="X132" s="69"/>
      <x:c r="Y132" s="69"/>
      <x:c r="Z132" s="69"/>
      <x:c r="AA132" s="69"/>
      <x:c r="AB132" s="69"/>
      <x:c r="AC132" s="69"/>
      <x:c r="AD132" s="69"/>
      <x:c r="AE132" s="69"/>
      <x:c r="AF132" s="69"/>
      <x:c r="AG132" s="69"/>
    </x:row>
    <x:row r="133">
      <x:c r="Q133" s="72"/>
      <x:c r="R133" s="69"/>
      <x:c r="S133" s="69"/>
      <x:c r="T133" s="69"/>
      <x:c r="U133" s="69"/>
      <x:c r="V133" s="69"/>
      <x:c r="W133" s="69"/>
      <x:c r="X133" s="69"/>
      <x:c r="Y133" s="69"/>
      <x:c r="Z133" s="69"/>
      <x:c r="AA133" s="69"/>
      <x:c r="AB133" s="69"/>
      <x:c r="AC133" s="69"/>
      <x:c r="AD133" s="69"/>
      <x:c r="AE133" s="69"/>
      <x:c r="AF133" s="69"/>
      <x:c r="AG133" s="69"/>
    </x:row>
    <x:row r="134">
      <x:c r="Q134" s="72"/>
      <x:c r="R134" s="69"/>
      <x:c r="S134" s="69"/>
      <x:c r="T134" s="69"/>
      <x:c r="U134" s="69"/>
      <x:c r="V134" s="69"/>
      <x:c r="W134" s="69"/>
      <x:c r="X134" s="69"/>
      <x:c r="Y134" s="69"/>
      <x:c r="Z134" s="69"/>
      <x:c r="AA134" s="69"/>
      <x:c r="AB134" s="69"/>
      <x:c r="AC134" s="69"/>
      <x:c r="AD134" s="69"/>
      <x:c r="AE134" s="69"/>
      <x:c r="AF134" s="69"/>
      <x:c r="AG134" s="69"/>
    </x:row>
    <x:row r="135">
      <x:c r="Q135" s="72"/>
      <x:c r="R135" s="69"/>
      <x:c r="S135" s="69"/>
      <x:c r="T135" s="69"/>
      <x:c r="U135" s="69"/>
      <x:c r="V135" s="69"/>
      <x:c r="W135" s="69"/>
      <x:c r="X135" s="69"/>
      <x:c r="Y135" s="69"/>
      <x:c r="Z135" s="69"/>
      <x:c r="AA135" s="69"/>
      <x:c r="AB135" s="69"/>
      <x:c r="AC135" s="69"/>
      <x:c r="AD135" s="69"/>
      <x:c r="AE135" s="69"/>
      <x:c r="AF135" s="69"/>
      <x:c r="AG135" s="69"/>
    </x:row>
    <x:row r="136">
      <x:c r="Q136" s="72"/>
      <x:c r="R136" s="69"/>
      <x:c r="S136" s="69"/>
      <x:c r="T136" s="69"/>
      <x:c r="U136" s="69"/>
      <x:c r="V136" s="69"/>
      <x:c r="W136" s="69"/>
      <x:c r="X136" s="69"/>
      <x:c r="Y136" s="69"/>
      <x:c r="Z136" s="69"/>
      <x:c r="AA136" s="69"/>
      <x:c r="AB136" s="69"/>
      <x:c r="AC136" s="69"/>
      <x:c r="AD136" s="69"/>
      <x:c r="AE136" s="69"/>
      <x:c r="AF136" s="69"/>
      <x:c r="AG136" s="69"/>
    </x:row>
    <x:row r="137">
      <x:c r="Q137" s="72"/>
      <x:c r="R137" s="69"/>
      <x:c r="S137" s="69"/>
      <x:c r="T137" s="69"/>
      <x:c r="U137" s="69"/>
      <x:c r="V137" s="69"/>
      <x:c r="W137" s="69"/>
      <x:c r="X137" s="69"/>
      <x:c r="Y137" s="69"/>
      <x:c r="Z137" s="69"/>
      <x:c r="AA137" s="69"/>
      <x:c r="AB137" s="69"/>
      <x:c r="AC137" s="69"/>
      <x:c r="AD137" s="69"/>
      <x:c r="AE137" s="69"/>
      <x:c r="AF137" s="69"/>
      <x:c r="AG137" s="69"/>
    </x:row>
    <x:row r="138">
      <x:c r="Q138" s="72"/>
      <x:c r="R138" s="69"/>
      <x:c r="S138" s="69"/>
      <x:c r="T138" s="69"/>
      <x:c r="U138" s="69"/>
      <x:c r="V138" s="69"/>
      <x:c r="W138" s="69"/>
      <x:c r="X138" s="69"/>
      <x:c r="Y138" s="69"/>
      <x:c r="Z138" s="69"/>
      <x:c r="AA138" s="69"/>
      <x:c r="AB138" s="69"/>
      <x:c r="AC138" s="69"/>
      <x:c r="AD138" s="69"/>
      <x:c r="AE138" s="69"/>
      <x:c r="AF138" s="69"/>
      <x:c r="AG138" s="69"/>
    </x:row>
    <x:row r="139">
      <x:c r="Q139" s="72"/>
      <x:c r="R139" s="69"/>
      <x:c r="S139" s="69"/>
      <x:c r="T139" s="69"/>
      <x:c r="U139" s="69"/>
      <x:c r="V139" s="69"/>
      <x:c r="W139" s="69"/>
      <x:c r="X139" s="69"/>
      <x:c r="Y139" s="69"/>
      <x:c r="Z139" s="69"/>
      <x:c r="AA139" s="69"/>
      <x:c r="AB139" s="69"/>
      <x:c r="AC139" s="69"/>
      <x:c r="AD139" s="69"/>
      <x:c r="AE139" s="69"/>
      <x:c r="AF139" s="69"/>
      <x:c r="AG139" s="69"/>
    </x:row>
    <x:row r="140">
      <x:c r="Q140" s="72"/>
      <x:c r="R140" s="69"/>
      <x:c r="S140" s="69"/>
      <x:c r="T140" s="69"/>
      <x:c r="U140" s="69"/>
      <x:c r="V140" s="69"/>
      <x:c r="W140" s="69"/>
      <x:c r="X140" s="69"/>
      <x:c r="Y140" s="69"/>
      <x:c r="Z140" s="69"/>
      <x:c r="AA140" s="69"/>
      <x:c r="AB140" s="69"/>
      <x:c r="AC140" s="69"/>
      <x:c r="AD140" s="69"/>
      <x:c r="AE140" s="69"/>
      <x:c r="AF140" s="69"/>
      <x:c r="AG140" s="69"/>
    </x:row>
    <x:row r="141">
      <x:c r="Q141" s="72"/>
      <x:c r="R141" s="69"/>
      <x:c r="S141" s="69"/>
      <x:c r="T141" s="69"/>
      <x:c r="U141" s="69"/>
      <x:c r="V141" s="69"/>
      <x:c r="W141" s="69"/>
      <x:c r="X141" s="69"/>
      <x:c r="Y141" s="69"/>
      <x:c r="Z141" s="69"/>
      <x:c r="AA141" s="69"/>
      <x:c r="AB141" s="69"/>
      <x:c r="AC141" s="69"/>
      <x:c r="AD141" s="69"/>
      <x:c r="AE141" s="69"/>
      <x:c r="AF141" s="69"/>
      <x:c r="AG141" s="69"/>
    </x:row>
    <x:row r="142">
      <x:c r="Q142" s="72"/>
      <x:c r="R142" s="69"/>
      <x:c r="S142" s="69"/>
      <x:c r="T142" s="69"/>
      <x:c r="U142" s="69"/>
      <x:c r="V142" s="69"/>
      <x:c r="W142" s="69"/>
      <x:c r="X142" s="69"/>
      <x:c r="Y142" s="69"/>
      <x:c r="Z142" s="69"/>
      <x:c r="AA142" s="69"/>
      <x:c r="AB142" s="69"/>
      <x:c r="AC142" s="69"/>
      <x:c r="AD142" s="69"/>
      <x:c r="AE142" s="69"/>
      <x:c r="AF142" s="69"/>
      <x:c r="AG142" s="69"/>
    </x:row>
    <x:row r="143">
      <x:c r="Q143" s="72"/>
      <x:c r="R143" s="69"/>
      <x:c r="S143" s="69"/>
      <x:c r="T143" s="69"/>
      <x:c r="U143" s="69"/>
      <x:c r="V143" s="69"/>
      <x:c r="W143" s="69"/>
      <x:c r="X143" s="69"/>
      <x:c r="Y143" s="69"/>
      <x:c r="Z143" s="69"/>
      <x:c r="AA143" s="69"/>
      <x:c r="AB143" s="69"/>
      <x:c r="AC143" s="69"/>
      <x:c r="AD143" s="69"/>
      <x:c r="AE143" s="69"/>
      <x:c r="AF143" s="69"/>
      <x:c r="AG143" s="69"/>
    </x:row>
    <x:row r="144">
      <x:c r="Q144" s="72"/>
      <x:c r="R144" s="69"/>
      <x:c r="S144" s="69"/>
      <x:c r="T144" s="69"/>
      <x:c r="U144" s="69"/>
      <x:c r="V144" s="69"/>
      <x:c r="W144" s="69"/>
      <x:c r="X144" s="69"/>
      <x:c r="Y144" s="69"/>
      <x:c r="Z144" s="69"/>
      <x:c r="AA144" s="69"/>
      <x:c r="AB144" s="69"/>
      <x:c r="AC144" s="69"/>
      <x:c r="AD144" s="69"/>
      <x:c r="AE144" s="69"/>
      <x:c r="AF144" s="69"/>
      <x:c r="AG144" s="69"/>
    </x:row>
    <x:row r="145">
      <x:c r="Q145" s="72"/>
      <x:c r="R145" s="69"/>
      <x:c r="S145" s="69"/>
      <x:c r="T145" s="69"/>
      <x:c r="U145" s="69"/>
      <x:c r="V145" s="69"/>
      <x:c r="W145" s="69"/>
      <x:c r="X145" s="69"/>
      <x:c r="Y145" s="69"/>
      <x:c r="Z145" s="69"/>
      <x:c r="AA145" s="69"/>
      <x:c r="AB145" s="69"/>
      <x:c r="AC145" s="69"/>
      <x:c r="AD145" s="69"/>
      <x:c r="AE145" s="69"/>
      <x:c r="AF145" s="69"/>
      <x:c r="AG145" s="69"/>
    </x:row>
    <x:row r="146">
      <x:c r="Q146" s="72"/>
      <x:c r="R146" s="69"/>
      <x:c r="S146" s="69"/>
      <x:c r="T146" s="69"/>
      <x:c r="U146" s="69"/>
      <x:c r="V146" s="69"/>
      <x:c r="W146" s="69"/>
      <x:c r="X146" s="69"/>
      <x:c r="Y146" s="69"/>
      <x:c r="Z146" s="69"/>
      <x:c r="AA146" s="69"/>
      <x:c r="AB146" s="69"/>
      <x:c r="AC146" s="69"/>
      <x:c r="AD146" s="69"/>
      <x:c r="AE146" s="69"/>
      <x:c r="AF146" s="69"/>
      <x:c r="AG146" s="69"/>
    </x:row>
    <x:row r="147">
      <x:c r="Q147" s="72"/>
      <x:c r="R147" s="69"/>
      <x:c r="S147" s="69"/>
      <x:c r="T147" s="69"/>
      <x:c r="U147" s="69"/>
      <x:c r="V147" s="69"/>
      <x:c r="W147" s="69"/>
      <x:c r="X147" s="69"/>
      <x:c r="Y147" s="69"/>
      <x:c r="Z147" s="69"/>
      <x:c r="AA147" s="69"/>
      <x:c r="AB147" s="69"/>
      <x:c r="AC147" s="69"/>
      <x:c r="AD147" s="69"/>
      <x:c r="AE147" s="69"/>
      <x:c r="AF147" s="69"/>
      <x:c r="AG147" s="69"/>
    </x:row>
    <x:row r="148">
      <x:c r="Q148" s="72"/>
      <x:c r="R148" s="69"/>
      <x:c r="S148" s="69"/>
      <x:c r="T148" s="69"/>
      <x:c r="U148" s="69"/>
      <x:c r="V148" s="69"/>
      <x:c r="W148" s="69"/>
      <x:c r="X148" s="69"/>
      <x:c r="Y148" s="69"/>
      <x:c r="Z148" s="69"/>
      <x:c r="AA148" s="69"/>
      <x:c r="AB148" s="69"/>
      <x:c r="AC148" s="69"/>
      <x:c r="AD148" s="69"/>
      <x:c r="AE148" s="69"/>
      <x:c r="AF148" s="69"/>
      <x:c r="AG148" s="69"/>
    </x:row>
    <x:row r="149">
      <x:c r="Q149" s="72"/>
      <x:c r="R149" s="69"/>
      <x:c r="S149" s="69"/>
      <x:c r="T149" s="69"/>
      <x:c r="U149" s="69"/>
      <x:c r="V149" s="69"/>
      <x:c r="W149" s="69"/>
      <x:c r="X149" s="69"/>
      <x:c r="Y149" s="69"/>
      <x:c r="Z149" s="69"/>
      <x:c r="AA149" s="69"/>
      <x:c r="AB149" s="69"/>
      <x:c r="AC149" s="69"/>
      <x:c r="AD149" s="69"/>
      <x:c r="AE149" s="69"/>
      <x:c r="AF149" s="69"/>
      <x:c r="AG149" s="69"/>
    </x:row>
    <x:row r="150">
      <x:c r="Q150" s="72"/>
      <x:c r="R150" s="69"/>
      <x:c r="S150" s="69"/>
      <x:c r="T150" s="69"/>
      <x:c r="U150" s="69"/>
      <x:c r="V150" s="69"/>
      <x:c r="W150" s="69"/>
      <x:c r="X150" s="69"/>
      <x:c r="Y150" s="69"/>
      <x:c r="Z150" s="69"/>
      <x:c r="AA150" s="69"/>
      <x:c r="AB150" s="69"/>
      <x:c r="AC150" s="69"/>
      <x:c r="AD150" s="69"/>
      <x:c r="AE150" s="69"/>
      <x:c r="AF150" s="69"/>
      <x:c r="AG150" s="69"/>
    </x:row>
    <x:row r="151">
      <x:c r="Q151" s="72"/>
      <x:c r="R151" s="69"/>
      <x:c r="S151" s="69"/>
      <x:c r="T151" s="69"/>
      <x:c r="U151" s="69"/>
      <x:c r="V151" s="69"/>
      <x:c r="W151" s="69"/>
      <x:c r="X151" s="69"/>
      <x:c r="Y151" s="69"/>
      <x:c r="Z151" s="69"/>
      <x:c r="AA151" s="69"/>
      <x:c r="AB151" s="69"/>
      <x:c r="AC151" s="69"/>
      <x:c r="AD151" s="69"/>
      <x:c r="AE151" s="69"/>
      <x:c r="AF151" s="69"/>
      <x:c r="AG151" s="69"/>
    </x:row>
    <x:row r="152">
      <x:c r="Q152" s="72"/>
      <x:c r="R152" s="69"/>
      <x:c r="S152" s="69"/>
      <x:c r="T152" s="69"/>
      <x:c r="U152" s="69"/>
      <x:c r="V152" s="69"/>
      <x:c r="W152" s="69"/>
      <x:c r="X152" s="69"/>
      <x:c r="Y152" s="69"/>
      <x:c r="Z152" s="69"/>
      <x:c r="AA152" s="69"/>
      <x:c r="AB152" s="69"/>
      <x:c r="AC152" s="69"/>
      <x:c r="AD152" s="69"/>
      <x:c r="AE152" s="69"/>
      <x:c r="AF152" s="69"/>
      <x:c r="AG152" s="69"/>
    </x:row>
    <x:row r="153">
      <x:c r="Q153" s="72"/>
      <x:c r="R153" s="69"/>
      <x:c r="S153" s="69"/>
      <x:c r="T153" s="69"/>
      <x:c r="U153" s="69"/>
      <x:c r="V153" s="69"/>
      <x:c r="W153" s="69"/>
      <x:c r="X153" s="69"/>
      <x:c r="Y153" s="69"/>
      <x:c r="Z153" s="69"/>
      <x:c r="AA153" s="69"/>
      <x:c r="AB153" s="69"/>
      <x:c r="AC153" s="69"/>
      <x:c r="AD153" s="69"/>
      <x:c r="AE153" s="69"/>
      <x:c r="AF153" s="69"/>
      <x:c r="AG153" s="69"/>
    </x:row>
    <x:row r="154">
      <x:c r="Q154" s="72"/>
      <x:c r="R154" s="69"/>
      <x:c r="S154" s="69"/>
      <x:c r="T154" s="69"/>
      <x:c r="U154" s="69"/>
      <x:c r="V154" s="69"/>
      <x:c r="W154" s="69"/>
      <x:c r="X154" s="69"/>
      <x:c r="Y154" s="69"/>
      <x:c r="Z154" s="69"/>
      <x:c r="AA154" s="69"/>
      <x:c r="AB154" s="69"/>
      <x:c r="AC154" s="69"/>
      <x:c r="AD154" s="69"/>
      <x:c r="AE154" s="69"/>
      <x:c r="AF154" s="69"/>
      <x:c r="AG154" s="69"/>
    </x:row>
    <x:row r="155">
      <x:c r="Q155" s="72"/>
      <x:c r="R155" s="69"/>
      <x:c r="S155" s="69"/>
      <x:c r="T155" s="69"/>
      <x:c r="U155" s="69"/>
      <x:c r="V155" s="69"/>
      <x:c r="W155" s="69"/>
      <x:c r="X155" s="69"/>
      <x:c r="Y155" s="69"/>
      <x:c r="Z155" s="69"/>
      <x:c r="AA155" s="69"/>
      <x:c r="AB155" s="69"/>
      <x:c r="AC155" s="69"/>
      <x:c r="AD155" s="69"/>
      <x:c r="AE155" s="69"/>
      <x:c r="AF155" s="69"/>
      <x:c r="AG155" s="69"/>
    </x:row>
    <x:row r="156">
      <x:c r="Q156" s="72"/>
      <x:c r="R156" s="69"/>
      <x:c r="S156" s="69"/>
      <x:c r="T156" s="69"/>
      <x:c r="U156" s="69"/>
      <x:c r="V156" s="69"/>
      <x:c r="W156" s="69"/>
      <x:c r="X156" s="69"/>
      <x:c r="Y156" s="69"/>
      <x:c r="Z156" s="69"/>
      <x:c r="AA156" s="69"/>
      <x:c r="AB156" s="69"/>
      <x:c r="AC156" s="69"/>
      <x:c r="AD156" s="69"/>
      <x:c r="AE156" s="69"/>
      <x:c r="AF156" s="69"/>
      <x:c r="AG156" s="69"/>
    </x:row>
    <x:row r="157">
      <x:c r="Q157" s="72"/>
      <x:c r="R157" s="69"/>
      <x:c r="S157" s="69"/>
      <x:c r="T157" s="69"/>
      <x:c r="U157" s="69"/>
      <x:c r="V157" s="69"/>
      <x:c r="W157" s="69"/>
      <x:c r="X157" s="69"/>
      <x:c r="Y157" s="69"/>
      <x:c r="Z157" s="69"/>
      <x:c r="AA157" s="69"/>
      <x:c r="AB157" s="69"/>
      <x:c r="AC157" s="69"/>
      <x:c r="AD157" s="69"/>
      <x:c r="AE157" s="69"/>
      <x:c r="AF157" s="69"/>
      <x:c r="AG157" s="69"/>
    </x:row>
    <x:row r="158">
      <x:c r="Q158" s="72"/>
      <x:c r="R158" s="69"/>
      <x:c r="S158" s="69"/>
      <x:c r="T158" s="69"/>
      <x:c r="U158" s="69"/>
      <x:c r="V158" s="69"/>
      <x:c r="W158" s="69"/>
      <x:c r="X158" s="69"/>
      <x:c r="Y158" s="69"/>
      <x:c r="Z158" s="69"/>
      <x:c r="AA158" s="69"/>
      <x:c r="AB158" s="69"/>
      <x:c r="AC158" s="69"/>
      <x:c r="AD158" s="69"/>
      <x:c r="AE158" s="69"/>
      <x:c r="AF158" s="69"/>
      <x:c r="AG158" s="69"/>
    </x:row>
    <x:row r="159">
      <x:c r="Q159" s="72"/>
      <x:c r="R159" s="69"/>
      <x:c r="S159" s="69"/>
      <x:c r="T159" s="69"/>
      <x:c r="U159" s="69"/>
      <x:c r="V159" s="69"/>
      <x:c r="W159" s="69"/>
      <x:c r="X159" s="69"/>
      <x:c r="Y159" s="69"/>
      <x:c r="Z159" s="69"/>
      <x:c r="AA159" s="69"/>
      <x:c r="AB159" s="69"/>
      <x:c r="AC159" s="69"/>
      <x:c r="AD159" s="69"/>
      <x:c r="AE159" s="69"/>
      <x:c r="AF159" s="69"/>
      <x:c r="AG159" s="69"/>
    </x:row>
    <x:row r="160">
      <x:c r="Q160" s="72"/>
      <x:c r="R160" s="69"/>
      <x:c r="S160" s="69"/>
      <x:c r="T160" s="69"/>
      <x:c r="U160" s="69"/>
      <x:c r="V160" s="69"/>
      <x:c r="W160" s="69"/>
      <x:c r="X160" s="69"/>
      <x:c r="Y160" s="69"/>
      <x:c r="Z160" s="69"/>
      <x:c r="AA160" s="69"/>
      <x:c r="AB160" s="69"/>
      <x:c r="AC160" s="69"/>
      <x:c r="AD160" s="69"/>
      <x:c r="AE160" s="69"/>
      <x:c r="AF160" s="69"/>
      <x:c r="AG160" s="69"/>
    </x:row>
    <x:row r="161">
      <x:c r="Q161" s="72"/>
      <x:c r="R161" s="69"/>
      <x:c r="S161" s="69"/>
      <x:c r="T161" s="69"/>
      <x:c r="U161" s="69"/>
      <x:c r="V161" s="69"/>
      <x:c r="W161" s="69"/>
      <x:c r="X161" s="69"/>
      <x:c r="Y161" s="69"/>
      <x:c r="Z161" s="69"/>
      <x:c r="AA161" s="69"/>
      <x:c r="AB161" s="69"/>
      <x:c r="AC161" s="69"/>
      <x:c r="AD161" s="69"/>
      <x:c r="AE161" s="69"/>
      <x:c r="AF161" s="69"/>
      <x:c r="AG161" s="69"/>
    </x:row>
    <x:row r="162">
      <x:c r="Q162" s="72"/>
      <x:c r="R162" s="69"/>
      <x:c r="S162" s="69"/>
      <x:c r="T162" s="69"/>
      <x:c r="U162" s="69"/>
      <x:c r="V162" s="69"/>
      <x:c r="W162" s="69"/>
      <x:c r="X162" s="69"/>
      <x:c r="Y162" s="69"/>
      <x:c r="Z162" s="69"/>
      <x:c r="AA162" s="69"/>
      <x:c r="AB162" s="69"/>
      <x:c r="AC162" s="69"/>
      <x:c r="AD162" s="69"/>
      <x:c r="AE162" s="69"/>
      <x:c r="AF162" s="69"/>
      <x:c r="AG162" s="69"/>
    </x:row>
    <x:row r="163">
      <x:c r="Q163" s="72"/>
      <x:c r="R163" s="69"/>
      <x:c r="S163" s="69"/>
      <x:c r="T163" s="69"/>
      <x:c r="U163" s="69"/>
      <x:c r="V163" s="69"/>
      <x:c r="W163" s="69"/>
      <x:c r="X163" s="69"/>
      <x:c r="Y163" s="69"/>
      <x:c r="Z163" s="69"/>
      <x:c r="AA163" s="69"/>
      <x:c r="AB163" s="69"/>
      <x:c r="AC163" s="69"/>
      <x:c r="AD163" s="69"/>
      <x:c r="AE163" s="69"/>
      <x:c r="AF163" s="69"/>
      <x:c r="AG163" s="69"/>
    </x:row>
    <x:row r="164">
      <x:c r="Q164" s="72"/>
      <x:c r="R164" s="69"/>
      <x:c r="S164" s="69"/>
      <x:c r="T164" s="69"/>
      <x:c r="U164" s="69"/>
      <x:c r="V164" s="69"/>
      <x:c r="W164" s="69"/>
      <x:c r="X164" s="69"/>
      <x:c r="Y164" s="69"/>
      <x:c r="Z164" s="69"/>
      <x:c r="AA164" s="69"/>
      <x:c r="AB164" s="69"/>
      <x:c r="AC164" s="69"/>
      <x:c r="AD164" s="69"/>
      <x:c r="AE164" s="69"/>
      <x:c r="AF164" s="69"/>
      <x:c r="AG164" s="69"/>
    </x:row>
    <x:row r="165">
      <x:c r="Q165" s="72"/>
      <x:c r="R165" s="69"/>
      <x:c r="S165" s="69"/>
      <x:c r="T165" s="69"/>
      <x:c r="U165" s="69"/>
      <x:c r="V165" s="69"/>
      <x:c r="W165" s="69"/>
      <x:c r="X165" s="69"/>
      <x:c r="Y165" s="69"/>
      <x:c r="Z165" s="69"/>
      <x:c r="AA165" s="69"/>
      <x:c r="AB165" s="69"/>
      <x:c r="AC165" s="69"/>
      <x:c r="AD165" s="69"/>
      <x:c r="AE165" s="69"/>
      <x:c r="AF165" s="69"/>
      <x:c r="AG165" s="69"/>
    </x:row>
    <x:row r="166">
      <x:c r="Q166" s="72"/>
      <x:c r="R166" s="69"/>
      <x:c r="S166" s="69"/>
      <x:c r="T166" s="69"/>
      <x:c r="U166" s="69"/>
      <x:c r="V166" s="69"/>
      <x:c r="W166" s="69"/>
      <x:c r="X166" s="69"/>
      <x:c r="Y166" s="69"/>
      <x:c r="Z166" s="69"/>
      <x:c r="AA166" s="69"/>
      <x:c r="AB166" s="69"/>
      <x:c r="AC166" s="69"/>
      <x:c r="AD166" s="69"/>
      <x:c r="AE166" s="69"/>
      <x:c r="AF166" s="69"/>
      <x:c r="AG166" s="69"/>
    </x:row>
    <x:row r="167">
      <x:c r="Q167" s="72"/>
      <x:c r="R167" s="69"/>
      <x:c r="S167" s="69"/>
      <x:c r="T167" s="69"/>
      <x:c r="U167" s="69"/>
      <x:c r="V167" s="69"/>
      <x:c r="W167" s="69"/>
      <x:c r="X167" s="69"/>
      <x:c r="Y167" s="69"/>
      <x:c r="Z167" s="69"/>
      <x:c r="AA167" s="69"/>
      <x:c r="AB167" s="69"/>
      <x:c r="AC167" s="69"/>
      <x:c r="AD167" s="69"/>
      <x:c r="AE167" s="69"/>
      <x:c r="AF167" s="69"/>
      <x:c r="AG167" s="69"/>
    </x:row>
    <x:row r="168">
      <x:c r="Q168" s="72"/>
      <x:c r="R168" s="69"/>
      <x:c r="S168" s="69"/>
      <x:c r="T168" s="69"/>
      <x:c r="U168" s="69"/>
      <x:c r="V168" s="69"/>
      <x:c r="W168" s="69"/>
      <x:c r="X168" s="69"/>
      <x:c r="Y168" s="69"/>
      <x:c r="Z168" s="69"/>
      <x:c r="AA168" s="69"/>
      <x:c r="AB168" s="69"/>
      <x:c r="AC168" s="69"/>
      <x:c r="AD168" s="69"/>
      <x:c r="AE168" s="69"/>
      <x:c r="AF168" s="69"/>
      <x:c r="AG168" s="69"/>
    </x:row>
    <x:row r="169">
      <x:c r="Q169" s="72"/>
      <x:c r="R169" s="69"/>
      <x:c r="S169" s="69"/>
      <x:c r="T169" s="69"/>
      <x:c r="U169" s="69"/>
      <x:c r="V169" s="69"/>
      <x:c r="W169" s="69"/>
      <x:c r="X169" s="69"/>
      <x:c r="Y169" s="69"/>
      <x:c r="Z169" s="69"/>
      <x:c r="AA169" s="69"/>
      <x:c r="AB169" s="69"/>
      <x:c r="AC169" s="69"/>
      <x:c r="AD169" s="69"/>
      <x:c r="AE169" s="69"/>
      <x:c r="AF169" s="69"/>
      <x:c r="AG169" s="69"/>
    </x:row>
    <x:row r="170">
      <x:c r="Q170" s="72"/>
      <x:c r="R170" s="69"/>
      <x:c r="S170" s="69"/>
      <x:c r="T170" s="69"/>
      <x:c r="U170" s="69"/>
      <x:c r="V170" s="69"/>
      <x:c r="W170" s="69"/>
      <x:c r="X170" s="69"/>
      <x:c r="Y170" s="69"/>
      <x:c r="Z170" s="69"/>
      <x:c r="AA170" s="69"/>
      <x:c r="AB170" s="69"/>
      <x:c r="AC170" s="69"/>
      <x:c r="AD170" s="69"/>
      <x:c r="AE170" s="69"/>
      <x:c r="AF170" s="69"/>
      <x:c r="AG170" s="69"/>
    </x:row>
    <x:row r="171">
      <x:c r="Q171" s="72"/>
      <x:c r="R171" s="69"/>
      <x:c r="S171" s="69"/>
      <x:c r="T171" s="69"/>
      <x:c r="U171" s="69"/>
      <x:c r="V171" s="69"/>
      <x:c r="W171" s="69"/>
      <x:c r="X171" s="69"/>
      <x:c r="Y171" s="69"/>
      <x:c r="Z171" s="69"/>
      <x:c r="AA171" s="69"/>
      <x:c r="AB171" s="69"/>
      <x:c r="AC171" s="69"/>
      <x:c r="AD171" s="69"/>
      <x:c r="AE171" s="69"/>
      <x:c r="AF171" s="69"/>
      <x:c r="AG171" s="69"/>
    </x:row>
    <x:row r="172">
      <x:c r="Q172" s="72"/>
      <x:c r="R172" s="69"/>
      <x:c r="S172" s="69"/>
      <x:c r="T172" s="69"/>
      <x:c r="U172" s="69"/>
      <x:c r="V172" s="69"/>
      <x:c r="W172" s="69"/>
      <x:c r="X172" s="69"/>
      <x:c r="Y172" s="69"/>
      <x:c r="Z172" s="69"/>
      <x:c r="AA172" s="69"/>
      <x:c r="AB172" s="69"/>
      <x:c r="AC172" s="69"/>
      <x:c r="AD172" s="69"/>
      <x:c r="AE172" s="69"/>
      <x:c r="AF172" s="69"/>
      <x:c r="AG172" s="69"/>
    </x:row>
    <x:row r="173">
      <x:c r="Q173" s="72"/>
      <x:c r="R173" s="69"/>
      <x:c r="S173" s="69"/>
      <x:c r="T173" s="69"/>
      <x:c r="U173" s="69"/>
      <x:c r="V173" s="69"/>
      <x:c r="W173" s="69"/>
      <x:c r="X173" s="69"/>
      <x:c r="Y173" s="69"/>
      <x:c r="Z173" s="69"/>
      <x:c r="AA173" s="69"/>
      <x:c r="AB173" s="69"/>
      <x:c r="AC173" s="69"/>
      <x:c r="AD173" s="69"/>
      <x:c r="AE173" s="69"/>
      <x:c r="AF173" s="69"/>
      <x:c r="AG173" s="69"/>
    </x:row>
    <x:row r="174">
      <x:c r="Q174" s="72"/>
      <x:c r="R174" s="69"/>
      <x:c r="S174" s="69"/>
      <x:c r="T174" s="69"/>
      <x:c r="U174" s="69"/>
      <x:c r="V174" s="69"/>
      <x:c r="W174" s="69"/>
      <x:c r="X174" s="69"/>
      <x:c r="Y174" s="69"/>
      <x:c r="Z174" s="69"/>
      <x:c r="AA174" s="69"/>
      <x:c r="AB174" s="69"/>
      <x:c r="AC174" s="69"/>
      <x:c r="AD174" s="69"/>
      <x:c r="AE174" s="69"/>
      <x:c r="AF174" s="69"/>
      <x:c r="AG174" s="69"/>
    </x:row>
    <x:row r="175">
      <x:c r="Q175" s="72"/>
      <x:c r="R175" s="69"/>
      <x:c r="S175" s="69"/>
      <x:c r="T175" s="69"/>
      <x:c r="U175" s="69"/>
      <x:c r="V175" s="69"/>
      <x:c r="W175" s="69"/>
      <x:c r="X175" s="69"/>
      <x:c r="Y175" s="69"/>
      <x:c r="Z175" s="69"/>
      <x:c r="AA175" s="69"/>
      <x:c r="AB175" s="69"/>
      <x:c r="AC175" s="69"/>
      <x:c r="AD175" s="69"/>
      <x:c r="AE175" s="69"/>
      <x:c r="AF175" s="69"/>
      <x:c r="AG175" s="69"/>
    </x:row>
    <x:row r="176">
      <x:c r="Q176" s="72"/>
      <x:c r="R176" s="69"/>
      <x:c r="S176" s="69"/>
      <x:c r="T176" s="69"/>
      <x:c r="U176" s="69"/>
      <x:c r="V176" s="69"/>
      <x:c r="W176" s="69"/>
      <x:c r="X176" s="69"/>
      <x:c r="Y176" s="69"/>
      <x:c r="Z176" s="69"/>
      <x:c r="AA176" s="69"/>
      <x:c r="AB176" s="69"/>
      <x:c r="AC176" s="69"/>
      <x:c r="AD176" s="69"/>
      <x:c r="AE176" s="69"/>
      <x:c r="AF176" s="69"/>
      <x:c r="AG176" s="69"/>
    </x:row>
    <x:row r="177">
      <x:c r="Q177" s="72"/>
      <x:c r="R177" s="69"/>
      <x:c r="S177" s="69"/>
      <x:c r="T177" s="69"/>
      <x:c r="U177" s="69"/>
      <x:c r="V177" s="69"/>
      <x:c r="W177" s="69"/>
      <x:c r="X177" s="69"/>
      <x:c r="Y177" s="69"/>
      <x:c r="Z177" s="69"/>
      <x:c r="AA177" s="69"/>
      <x:c r="AB177" s="69"/>
      <x:c r="AC177" s="69"/>
      <x:c r="AD177" s="69"/>
      <x:c r="AE177" s="69"/>
      <x:c r="AF177" s="69"/>
      <x:c r="AG177" s="69"/>
    </x:row>
    <x:row r="178">
      <x:c r="Q178" s="72"/>
      <x:c r="R178" s="69"/>
      <x:c r="S178" s="69"/>
      <x:c r="T178" s="69"/>
      <x:c r="U178" s="69"/>
      <x:c r="V178" s="69"/>
      <x:c r="W178" s="69"/>
      <x:c r="X178" s="69"/>
      <x:c r="Y178" s="69"/>
      <x:c r="Z178" s="69"/>
      <x:c r="AA178" s="69"/>
      <x:c r="AB178" s="69"/>
      <x:c r="AC178" s="69"/>
      <x:c r="AD178" s="69"/>
      <x:c r="AE178" s="69"/>
      <x:c r="AF178" s="69"/>
      <x:c r="AG178" s="69"/>
    </x:row>
    <x:row r="179">
      <x:c r="Q179" s="72"/>
      <x:c r="R179" s="69"/>
      <x:c r="S179" s="69"/>
      <x:c r="T179" s="69"/>
      <x:c r="U179" s="69"/>
      <x:c r="V179" s="69"/>
      <x:c r="W179" s="69"/>
      <x:c r="X179" s="69"/>
      <x:c r="Y179" s="69"/>
      <x:c r="Z179" s="69"/>
      <x:c r="AA179" s="69"/>
      <x:c r="AB179" s="69"/>
      <x:c r="AC179" s="69"/>
      <x:c r="AD179" s="69"/>
      <x:c r="AE179" s="69"/>
      <x:c r="AF179" s="69"/>
      <x:c r="AG179" s="69"/>
    </x:row>
    <x:row r="180">
      <x:c r="Q180" s="72"/>
      <x:c r="R180" s="69"/>
      <x:c r="S180" s="69"/>
      <x:c r="T180" s="69"/>
      <x:c r="U180" s="69"/>
      <x:c r="V180" s="69"/>
      <x:c r="W180" s="69"/>
      <x:c r="X180" s="69"/>
      <x:c r="Y180" s="69"/>
      <x:c r="Z180" s="69"/>
      <x:c r="AA180" s="69"/>
      <x:c r="AB180" s="69"/>
      <x:c r="AC180" s="69"/>
      <x:c r="AD180" s="69"/>
      <x:c r="AE180" s="69"/>
      <x:c r="AF180" s="69"/>
      <x:c r="AG180" s="69"/>
    </x:row>
    <x:row r="181">
      <x:c r="Q181" s="72"/>
      <x:c r="R181" s="69"/>
      <x:c r="S181" s="69"/>
      <x:c r="T181" s="69"/>
      <x:c r="U181" s="69"/>
      <x:c r="V181" s="69"/>
      <x:c r="W181" s="69"/>
      <x:c r="X181" s="69"/>
      <x:c r="Y181" s="69"/>
      <x:c r="Z181" s="69"/>
      <x:c r="AA181" s="69"/>
      <x:c r="AB181" s="69"/>
      <x:c r="AC181" s="69"/>
      <x:c r="AD181" s="69"/>
      <x:c r="AE181" s="69"/>
      <x:c r="AF181" s="69"/>
      <x:c r="AG181" s="69"/>
    </x:row>
    <x:row r="182">
      <x:c r="Q182" s="72"/>
      <x:c r="R182" s="69"/>
      <x:c r="S182" s="69"/>
      <x:c r="T182" s="69"/>
      <x:c r="U182" s="69"/>
      <x:c r="V182" s="69"/>
      <x:c r="W182" s="69"/>
      <x:c r="X182" s="69"/>
      <x:c r="Y182" s="69"/>
      <x:c r="Z182" s="69"/>
      <x:c r="AA182" s="69"/>
      <x:c r="AB182" s="69"/>
      <x:c r="AC182" s="69"/>
      <x:c r="AD182" s="69"/>
      <x:c r="AE182" s="69"/>
      <x:c r="AF182" s="69"/>
      <x:c r="AG182" s="69"/>
    </x:row>
    <x:row r="183">
      <x:c r="Q183" s="72"/>
      <x:c r="R183" s="69"/>
      <x:c r="S183" s="69"/>
      <x:c r="T183" s="69"/>
      <x:c r="U183" s="69"/>
      <x:c r="V183" s="69"/>
      <x:c r="W183" s="69"/>
      <x:c r="X183" s="69"/>
      <x:c r="Y183" s="69"/>
      <x:c r="Z183" s="69"/>
      <x:c r="AA183" s="69"/>
      <x:c r="AB183" s="69"/>
      <x:c r="AC183" s="69"/>
      <x:c r="AD183" s="69"/>
      <x:c r="AE183" s="69"/>
      <x:c r="AF183" s="69"/>
      <x:c r="AG183" s="69"/>
    </x:row>
    <x:row r="184">
      <x:c r="Q184" s="72"/>
      <x:c r="R184" s="69"/>
      <x:c r="S184" s="69"/>
      <x:c r="T184" s="69"/>
      <x:c r="U184" s="69"/>
      <x:c r="V184" s="69"/>
      <x:c r="W184" s="69"/>
      <x:c r="X184" s="69"/>
      <x:c r="Y184" s="69"/>
      <x:c r="Z184" s="69"/>
      <x:c r="AA184" s="69"/>
      <x:c r="AB184" s="69"/>
      <x:c r="AC184" s="69"/>
      <x:c r="AD184" s="69"/>
      <x:c r="AE184" s="69"/>
      <x:c r="AF184" s="69"/>
      <x:c r="AG184" s="69"/>
    </x:row>
    <x:row r="185">
      <x:c r="Q185" s="72"/>
      <x:c r="R185" s="69"/>
      <x:c r="S185" s="69"/>
      <x:c r="T185" s="69"/>
      <x:c r="U185" s="69"/>
      <x:c r="V185" s="69"/>
      <x:c r="W185" s="69"/>
      <x:c r="X185" s="69"/>
      <x:c r="Y185" s="69"/>
      <x:c r="Z185" s="69"/>
      <x:c r="AA185" s="69"/>
      <x:c r="AB185" s="69"/>
      <x:c r="AC185" s="69"/>
      <x:c r="AD185" s="69"/>
      <x:c r="AE185" s="69"/>
      <x:c r="AF185" s="69"/>
      <x:c r="AG185" s="69"/>
    </x:row>
    <x:row r="186">
      <x:c r="Q186" s="72"/>
      <x:c r="R186" s="69"/>
      <x:c r="S186" s="69"/>
      <x:c r="T186" s="69"/>
      <x:c r="U186" s="69"/>
      <x:c r="V186" s="69"/>
      <x:c r="W186" s="69"/>
      <x:c r="X186" s="69"/>
      <x:c r="Y186" s="69"/>
      <x:c r="Z186" s="69"/>
      <x:c r="AA186" s="69"/>
      <x:c r="AB186" s="69"/>
      <x:c r="AC186" s="69"/>
      <x:c r="AD186" s="69"/>
      <x:c r="AE186" s="69"/>
      <x:c r="AF186" s="69"/>
      <x:c r="AG186" s="69"/>
    </x:row>
    <x:row r="187">
      <x:c r="Q187" s="72"/>
      <x:c r="R187" s="69"/>
      <x:c r="S187" s="69"/>
      <x:c r="T187" s="69"/>
      <x:c r="U187" s="69"/>
      <x:c r="V187" s="69"/>
      <x:c r="W187" s="69"/>
      <x:c r="X187" s="69"/>
      <x:c r="Y187" s="69"/>
      <x:c r="Z187" s="69"/>
      <x:c r="AA187" s="69"/>
      <x:c r="AB187" s="69"/>
      <x:c r="AC187" s="69"/>
      <x:c r="AD187" s="69"/>
      <x:c r="AE187" s="69"/>
      <x:c r="AF187" s="69"/>
      <x:c r="AG187" s="69"/>
    </x:row>
    <x:row r="188">
      <x:c r="Q188" s="72"/>
      <x:c r="R188" s="69"/>
      <x:c r="S188" s="69"/>
      <x:c r="T188" s="69"/>
      <x:c r="U188" s="69"/>
      <x:c r="V188" s="69"/>
      <x:c r="W188" s="69"/>
      <x:c r="X188" s="69"/>
      <x:c r="Y188" s="69"/>
      <x:c r="Z188" s="69"/>
      <x:c r="AA188" s="69"/>
      <x:c r="AB188" s="69"/>
      <x:c r="AC188" s="69"/>
      <x:c r="AD188" s="69"/>
      <x:c r="AE188" s="69"/>
      <x:c r="AF188" s="69"/>
      <x:c r="AG188" s="69"/>
    </x:row>
    <x:row r="189">
      <x:c r="Q189" s="72"/>
      <x:c r="R189" s="69"/>
      <x:c r="S189" s="69"/>
      <x:c r="T189" s="69"/>
      <x:c r="U189" s="69"/>
      <x:c r="V189" s="69"/>
      <x:c r="W189" s="69"/>
      <x:c r="X189" s="69"/>
      <x:c r="Y189" s="69"/>
      <x:c r="Z189" s="69"/>
      <x:c r="AA189" s="69"/>
      <x:c r="AB189" s="69"/>
      <x:c r="AC189" s="69"/>
      <x:c r="AD189" s="69"/>
      <x:c r="AE189" s="69"/>
      <x:c r="AF189" s="69"/>
      <x:c r="AG189" s="69"/>
    </x:row>
    <x:row r="190">
      <x:c r="Q190" s="72"/>
      <x:c r="R190" s="69"/>
      <x:c r="S190" s="69"/>
      <x:c r="T190" s="69"/>
      <x:c r="U190" s="69"/>
      <x:c r="V190" s="69"/>
      <x:c r="W190" s="69"/>
      <x:c r="X190" s="69"/>
      <x:c r="Y190" s="69"/>
      <x:c r="Z190" s="69"/>
      <x:c r="AA190" s="69"/>
      <x:c r="AB190" s="69"/>
      <x:c r="AC190" s="69"/>
      <x:c r="AD190" s="69"/>
      <x:c r="AE190" s="69"/>
      <x:c r="AF190" s="69"/>
      <x:c r="AG190" s="69"/>
    </x:row>
    <x:row r="191">
      <x:c r="Q191" s="72"/>
      <x:c r="R191" s="69"/>
      <x:c r="S191" s="69"/>
      <x:c r="T191" s="69"/>
      <x:c r="U191" s="69"/>
      <x:c r="V191" s="69"/>
      <x:c r="W191" s="69"/>
      <x:c r="X191" s="69"/>
      <x:c r="Y191" s="69"/>
      <x:c r="Z191" s="69"/>
      <x:c r="AA191" s="69"/>
      <x:c r="AB191" s="69"/>
      <x:c r="AC191" s="69"/>
      <x:c r="AD191" s="69"/>
      <x:c r="AE191" s="69"/>
      <x:c r="AF191" s="69"/>
      <x:c r="AG191" s="69"/>
    </x:row>
    <x:row r="192">
      <x:c r="Q192" s="72"/>
      <x:c r="R192" s="69"/>
      <x:c r="S192" s="69"/>
      <x:c r="T192" s="69"/>
      <x:c r="U192" s="69"/>
      <x:c r="V192" s="69"/>
      <x:c r="W192" s="69"/>
      <x:c r="X192" s="69"/>
      <x:c r="Y192" s="69"/>
      <x:c r="Z192" s="69"/>
      <x:c r="AA192" s="69"/>
      <x:c r="AB192" s="69"/>
      <x:c r="AC192" s="69"/>
      <x:c r="AD192" s="69"/>
      <x:c r="AE192" s="69"/>
      <x:c r="AF192" s="69"/>
      <x:c r="AG192" s="69"/>
    </x:row>
    <x:row r="193">
      <x:c r="Q193" s="72"/>
      <x:c r="R193" s="69"/>
      <x:c r="S193" s="69"/>
      <x:c r="T193" s="69"/>
      <x:c r="U193" s="69"/>
      <x:c r="V193" s="69"/>
      <x:c r="W193" s="69"/>
      <x:c r="X193" s="69"/>
      <x:c r="Y193" s="69"/>
      <x:c r="Z193" s="69"/>
      <x:c r="AA193" s="69"/>
      <x:c r="AB193" s="69"/>
      <x:c r="AC193" s="69"/>
      <x:c r="AD193" s="69"/>
      <x:c r="AE193" s="69"/>
      <x:c r="AF193" s="69"/>
      <x:c r="AG193" s="69"/>
    </x:row>
    <x:row r="194">
      <x:c r="Q194" s="72"/>
      <x:c r="R194" s="69"/>
      <x:c r="S194" s="69"/>
      <x:c r="T194" s="69"/>
      <x:c r="U194" s="69"/>
      <x:c r="V194" s="69"/>
      <x:c r="W194" s="69"/>
      <x:c r="X194" s="69"/>
      <x:c r="Y194" s="69"/>
      <x:c r="Z194" s="69"/>
      <x:c r="AA194" s="69"/>
      <x:c r="AB194" s="69"/>
      <x:c r="AC194" s="69"/>
      <x:c r="AD194" s="69"/>
      <x:c r="AE194" s="69"/>
      <x:c r="AF194" s="69"/>
      <x:c r="AG194" s="69"/>
    </x:row>
    <x:row r="195">
      <x:c r="Q195" s="72"/>
      <x:c r="R195" s="69"/>
      <x:c r="S195" s="69"/>
      <x:c r="T195" s="69"/>
      <x:c r="U195" s="69"/>
      <x:c r="V195" s="69"/>
      <x:c r="W195" s="69"/>
      <x:c r="X195" s="69"/>
      <x:c r="Y195" s="69"/>
      <x:c r="Z195" s="69"/>
      <x:c r="AA195" s="69"/>
      <x:c r="AB195" s="69"/>
      <x:c r="AC195" s="69"/>
      <x:c r="AD195" s="69"/>
      <x:c r="AE195" s="69"/>
      <x:c r="AF195" s="69"/>
      <x:c r="AG195" s="69"/>
    </x:row>
    <x:row r="196">
      <x:c r="Q196" s="72"/>
      <x:c r="R196" s="69"/>
      <x:c r="S196" s="69"/>
      <x:c r="T196" s="69"/>
      <x:c r="U196" s="69"/>
      <x:c r="V196" s="69"/>
      <x:c r="W196" s="69"/>
      <x:c r="X196" s="69"/>
      <x:c r="Y196" s="69"/>
      <x:c r="Z196" s="69"/>
      <x:c r="AA196" s="69"/>
      <x:c r="AB196" s="69"/>
      <x:c r="AC196" s="69"/>
      <x:c r="AD196" s="69"/>
      <x:c r="AE196" s="69"/>
      <x:c r="AF196" s="69"/>
      <x:c r="AG196" s="69"/>
    </x:row>
    <x:row r="197">
      <x:c r="Q197" s="72"/>
      <x:c r="R197" s="69"/>
      <x:c r="S197" s="69"/>
      <x:c r="T197" s="69"/>
      <x:c r="U197" s="69"/>
      <x:c r="V197" s="69"/>
      <x:c r="W197" s="69"/>
      <x:c r="X197" s="69"/>
      <x:c r="Y197" s="69"/>
      <x:c r="Z197" s="69"/>
      <x:c r="AA197" s="69"/>
      <x:c r="AB197" s="69"/>
      <x:c r="AC197" s="69"/>
      <x:c r="AD197" s="69"/>
      <x:c r="AE197" s="69"/>
      <x:c r="AF197" s="69"/>
      <x:c r="AG197" s="69"/>
    </x:row>
    <x:row r="198">
      <x:c r="Q198" s="72"/>
      <x:c r="R198" s="69"/>
      <x:c r="S198" s="69"/>
      <x:c r="T198" s="69"/>
      <x:c r="U198" s="69"/>
      <x:c r="V198" s="69"/>
      <x:c r="W198" s="69"/>
      <x:c r="X198" s="69"/>
      <x:c r="Y198" s="69"/>
      <x:c r="Z198" s="69"/>
      <x:c r="AA198" s="69"/>
      <x:c r="AB198" s="69"/>
      <x:c r="AC198" s="69"/>
      <x:c r="AD198" s="69"/>
      <x:c r="AE198" s="69"/>
      <x:c r="AF198" s="69"/>
      <x:c r="AG198" s="69"/>
    </x:row>
    <x:row r="199">
      <x:c r="Q199" s="72"/>
      <x:c r="R199" s="69"/>
      <x:c r="S199" s="69"/>
      <x:c r="T199" s="69"/>
      <x:c r="U199" s="69"/>
      <x:c r="V199" s="69"/>
      <x:c r="W199" s="69"/>
      <x:c r="X199" s="69"/>
      <x:c r="Y199" s="69"/>
      <x:c r="Z199" s="69"/>
      <x:c r="AA199" s="69"/>
      <x:c r="AB199" s="69"/>
      <x:c r="AC199" s="69"/>
      <x:c r="AD199" s="69"/>
      <x:c r="AE199" s="69"/>
      <x:c r="AF199" s="69"/>
      <x:c r="AG199" s="69"/>
    </x:row>
    <x:row r="200">
      <x:c r="Q200" s="72"/>
      <x:c r="R200" s="69"/>
      <x:c r="S200" s="69"/>
      <x:c r="T200" s="69"/>
      <x:c r="U200" s="69"/>
      <x:c r="V200" s="69"/>
      <x:c r="W200" s="69"/>
      <x:c r="X200" s="69"/>
      <x:c r="Y200" s="69"/>
      <x:c r="Z200" s="69"/>
      <x:c r="AA200" s="69"/>
      <x:c r="AB200" s="69"/>
      <x:c r="AC200" s="69"/>
      <x:c r="AD200" s="69"/>
      <x:c r="AE200" s="69"/>
      <x:c r="AF200" s="69"/>
      <x:c r="AG200" s="69"/>
    </x:row>
  </x:sheetData>
  <x:mergeCells>
    <x:mergeCell ref="E3:G3"/>
    <x:mergeCell ref="E2:G2"/>
    <x:mergeCell ref="P4:P5"/>
    <x:mergeCell ref="Q4:Q5"/>
    <x:mergeCell ref="N4:N5"/>
    <x:mergeCell ref="O4:O5"/>
    <x:mergeCell ref="E4:G4"/>
    <x:mergeCell ref="L4:L5"/>
    <x:mergeCell ref="M4:M5"/>
    <x:mergeCell ref="J4:J5"/>
    <x:mergeCell ref="K4:K5"/>
    <x:mergeCell ref="AL4:AY4"/>
  </x:mergeCells>
  <x:conditionalFormatting sqref="Q8:Q8">
    <x:cfRule type="cellIs" dxfId="4" priority="5" operator="notEqual">
      <x:formula>0</x:formula>
    </x:cfRule>
  </x:conditionalFormatting>
  <x:conditionalFormatting sqref="Q9:Q22">
    <x:cfRule type="cellIs" dxfId="3" priority="4" operator="notEqual">
      <x:formula>0</x:formula>
    </x:cfRule>
  </x:conditionalFormatting>
  <x:conditionalFormatting sqref="Q23:Q23">
    <x:cfRule type="cellIs" dxfId="2" priority="3" operator="notEqual">
      <x:formula>0</x:formula>
    </x:cfRule>
  </x:conditionalFormatting>
  <x:conditionalFormatting sqref="Q24:Q26">
    <x:cfRule type="cellIs" dxfId="1" priority="2" operator="notEqual">
      <x:formula>0</x:formula>
    </x:cfRule>
  </x:conditionalFormatting>
  <x:conditionalFormatting sqref="Q27:Q28">
    <x:cfRule type="cellIs" dxfId="0" priority="1" operator="notEqual">
      <x:formula>0</x:formula>
    </x:cfRule>
  </x:conditionalFormatting>
  <x:pageMargins left="0.7" right="0.7" top="0.75" bottom="0.75" header="0.3" footer="0.3"/>
  <x:legacyDrawing xmlns:r="http://schemas.openxmlformats.org/officeDocument/2006/relationships" r:id="Rf94b714fb40b437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5" hidden="0" customWidth="1"/>
    <x:col min="2" max="2" width="38" hidden="0" customWidth="1"/>
    <x:col min="3" max="3" width="23" hidden="0" customWidth="1"/>
    <x:col min="4" max="4" width="23" hidden="0" customWidth="1"/>
    <x:col min="5" max="5" width="38" hidden="0" customWidth="1"/>
    <x:col min="6" max="6" width="21" hidden="0" customWidth="1"/>
    <x:col min="7" max="7" width="21" hidden="0" customWidth="1"/>
    <x:col min="8" max="8" width="78" hidden="0" customWidth="1"/>
    <x:col min="9" max="9" width="3" hidden="0" customWidth="1"/>
    <x:col min="10" max="10" width="88" hidden="0" customWidth="1"/>
  </x:cols>
  <x:sheetData>
    <x:row r="1" ht="42" customHeight="1">
      <x:c r="A1" s="116" t="str">
        <x:v>Тип начисления</x:v>
      </x:c>
      <x:c r="B1" s="117" t="str">
        <x:v>Распределение в текущем запуске</x:v>
      </x:c>
      <x:c r="C1" s="117" t="str">
        <x:v>Текущий запуск: строк с артикулом</x:v>
      </x:c>
      <x:c r="D1" s="117" t="str">
        <x:v>Текущий запуск: строк без артикула</x:v>
      </x:c>
      <x:c r="E1" s="118" t="str">
        <x:v>Распределение за всю историю</x:v>
      </x:c>
      <x:c r="F1" s="118" t="str">
        <x:v>История: строк с артикулом</x:v>
      </x:c>
      <x:c r="G1" s="118" t="str">
        <x:v>История: строк без артикула</x:v>
      </x:c>
      <x:c r="H1" s="116" t="str">
        <x:v>Пояснение</x:v>
      </x:c>
      <x:c r="J1" s="119" t="str">
        <x:v>Как читать справочник</x:v>
      </x:c>
    </x:row>
    <x:row r="2">
      <x:c r="J2" s="115" t="str">
        <x:v>Текущий запуск — только строки из выбранных сейчас отчетов</x:v>
      </x:c>
    </x:row>
    <x:row r="3">
      <x:c r="J3" s="115" t="str">
        <x:v>История — накопленные строки из всех выполненных запусков</x:v>
      </x:c>
    </x:row>
    <x:row r="4">
      <x:c r="J4" s="115" t="str">
        <x:v>ПО АРТИКУЛУ — во всех найденных строках указан артикул</x:v>
      </x:c>
    </x:row>
    <x:row r="5">
      <x:c r="J5" s="115" t="str">
        <x:v>НЕРАСПРЕДЕЛЕННЫЕ ДОХОДЫ/РАСХОДЫ — во всех строках артикул отсутствует</x:v>
      </x:c>
    </x:row>
    <x:row r="6">
      <x:c r="J6" s="115" t="str">
        <x:v>СМЕШАННОЕ РАСПРЕДЕЛЕНИЕ — встречаются строки с артикулом и без него</x:v>
      </x:c>
    </x:row>
    <x:row r="7">
      <x:c r="J7" s="115" t="str">
        <x:v>Распределение суммы всегда выполняется отдельно для каждой строки начисления</x:v>
      </x:c>
    </x:row>
    <x:row r="8">
      <x:c r="J8" s="115" t="str">
        <x:v>Исторические счетчики увеличиваются при каждом запуске, включая повторную обработку файла</x:v>
      </x:c>
    </x:row>
  </x:sheetData>
  <x:pageMargins left="0.7" right="0.7" top="0.75" bottom="0.75" header="0.3" footer="0.3"/>
</x:worksheet>
</file>